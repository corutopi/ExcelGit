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orutopi\040_Program\ExcelVBA\"/>
    </mc:Choice>
  </mc:AlternateContent>
  <bookViews>
    <workbookView xWindow="0" yWindow="0" windowWidth="17745" windowHeight="8175"/>
  </bookViews>
  <sheets>
    <sheet name="スケジュール" sheetId="3" r:id="rId1"/>
    <sheet name="設定" sheetId="2" r:id="rId2"/>
    <sheet name="要件" sheetId="4" r:id="rId3"/>
    <sheet name="実績" sheetId="5" r:id="rId4"/>
  </sheets>
  <functionGroups builtInGroupCount="18"/>
  <externalReferences>
    <externalReference r:id="rId5"/>
  </externalReferences>
  <definedNames>
    <definedName name="_xlnm._FilterDatabase" localSheetId="0" hidden="1">スケジュール!$A$5:$EG$5</definedName>
    <definedName name="CalenderStart" localSheetId="0" hidden="1">スケジュール!$P$7</definedName>
    <definedName name="Done">設定!$J$2</definedName>
    <definedName name="OnTheWay">設定!$I$2</definedName>
    <definedName name="ProjectName">スケジュール!$C$6:$G$6</definedName>
    <definedName name="ResultEnd">スケジュール!$N$6</definedName>
    <definedName name="ResultStart">スケジュール!$M$6</definedName>
    <definedName name="ResultWorkload">スケジュール!$L$6</definedName>
    <definedName name="SucheduleEnd">スケジュール!$K$6</definedName>
    <definedName name="SucheduleScope">スケジュール!$I$6</definedName>
    <definedName name="SucheduleStart">スケジュール!$J$6</definedName>
    <definedName name="SucheduleStartDay">設定!$A$2</definedName>
    <definedName name="SucheduleWoekload">スケジュール!$H$6</definedName>
    <definedName name="休日設定表">設定!$C$3:$F$48</definedName>
    <definedName name="設定_予定セル">設定!$H$2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D13" i="2"/>
  <c r="D11" i="2"/>
  <c r="D4" i="2"/>
  <c r="D18" i="2"/>
  <c r="D17" i="2"/>
  <c r="D16" i="2"/>
  <c r="D12" i="2"/>
  <c r="D10" i="2"/>
  <c r="D9" i="2"/>
  <c r="D8" i="2"/>
  <c r="D7" i="2"/>
  <c r="D6" i="2"/>
  <c r="D5" i="2"/>
  <c r="D3" i="2"/>
  <c r="D14" i="2"/>
  <c r="K10" i="3"/>
  <c r="K7" i="3"/>
  <c r="L6" i="3" l="1"/>
  <c r="K6" i="3"/>
  <c r="P1" i="3" l="1"/>
  <c r="Q1" i="3" s="1"/>
  <c r="R1" i="3" l="1"/>
  <c r="Q3" i="3"/>
  <c r="Q2" i="3"/>
  <c r="Q4" i="3"/>
  <c r="Q5" i="3"/>
  <c r="P2" i="3"/>
  <c r="P3" i="3"/>
  <c r="P4" i="3"/>
  <c r="P5" i="3"/>
  <c r="R5" i="3" l="1"/>
  <c r="R3" i="3"/>
  <c r="R2" i="3"/>
  <c r="S1" i="3"/>
  <c r="R4" i="3"/>
  <c r="T1" i="3" l="1"/>
  <c r="S3" i="3"/>
  <c r="S2" i="3"/>
  <c r="S5" i="3"/>
  <c r="S4" i="3"/>
  <c r="U1" i="3" l="1"/>
  <c r="T5" i="3"/>
  <c r="T4" i="3"/>
  <c r="T3" i="3"/>
  <c r="T2" i="3"/>
  <c r="V1" i="3" l="1"/>
  <c r="U5" i="3"/>
  <c r="U4" i="3"/>
  <c r="U3" i="3"/>
  <c r="U2" i="3"/>
  <c r="V5" i="3" l="1"/>
  <c r="V4" i="3"/>
  <c r="V3" i="3"/>
  <c r="V2" i="3"/>
  <c r="W1" i="3"/>
  <c r="W4" i="3" l="1"/>
  <c r="W3" i="3"/>
  <c r="W2" i="3"/>
  <c r="W5" i="3"/>
  <c r="X1" i="3"/>
  <c r="Y1" i="3" l="1"/>
  <c r="X5" i="3"/>
  <c r="X4" i="3"/>
  <c r="X3" i="3"/>
  <c r="X2" i="3"/>
  <c r="Y5" i="3" l="1"/>
  <c r="Y2" i="3"/>
  <c r="Z1" i="3"/>
  <c r="Y3" i="3"/>
  <c r="Y4" i="3"/>
  <c r="Z4" i="3" l="1"/>
  <c r="Z5" i="3"/>
  <c r="Z2" i="3"/>
  <c r="AA1" i="3"/>
  <c r="Z3" i="3"/>
  <c r="AB1" i="3" l="1"/>
  <c r="AA5" i="3"/>
  <c r="AA4" i="3"/>
  <c r="AA3" i="3"/>
  <c r="AA2" i="3"/>
  <c r="AC1" i="3" l="1"/>
  <c r="AB5" i="3"/>
  <c r="AB4" i="3"/>
  <c r="AB3" i="3"/>
  <c r="AB2" i="3"/>
  <c r="AD1" i="3" l="1"/>
  <c r="AC3" i="3"/>
  <c r="AC2" i="3"/>
  <c r="AC5" i="3"/>
  <c r="AC4" i="3"/>
  <c r="AD5" i="3" l="1"/>
  <c r="AD4" i="3"/>
  <c r="AD3" i="3"/>
  <c r="AD2" i="3"/>
  <c r="AE1" i="3"/>
  <c r="AE2" i="3" l="1"/>
  <c r="AE5" i="3"/>
  <c r="AE4" i="3"/>
  <c r="AE3" i="3"/>
  <c r="AF1" i="3"/>
  <c r="AG1" i="3" l="1"/>
  <c r="AF5" i="3"/>
  <c r="AF4" i="3"/>
  <c r="AF3" i="3"/>
  <c r="AF2" i="3"/>
  <c r="AH1" i="3" l="1"/>
  <c r="AG5" i="3"/>
  <c r="AG4" i="3"/>
  <c r="AG2" i="3"/>
  <c r="AG3" i="3"/>
  <c r="AH5" i="3" l="1"/>
  <c r="AH3" i="3"/>
  <c r="AH4" i="3"/>
  <c r="AI1" i="3"/>
  <c r="AH2" i="3"/>
  <c r="AJ1" i="3" l="1"/>
  <c r="AI2" i="3"/>
  <c r="AI5" i="3"/>
  <c r="AI4" i="3"/>
  <c r="AI3" i="3"/>
  <c r="AK1" i="3" l="1"/>
  <c r="AJ5" i="3"/>
  <c r="AJ4" i="3"/>
  <c r="AJ3" i="3"/>
  <c r="AJ2" i="3"/>
  <c r="AL1" i="3" l="1"/>
  <c r="AK5" i="3"/>
  <c r="AK4" i="3"/>
  <c r="AK3" i="3"/>
  <c r="AK2" i="3"/>
  <c r="AL5" i="3" l="1"/>
  <c r="AL4" i="3"/>
  <c r="AL3" i="3"/>
  <c r="AL2" i="3"/>
  <c r="AM1" i="3"/>
  <c r="AM5" i="3" l="1"/>
  <c r="AM3" i="3"/>
  <c r="AM4" i="3"/>
  <c r="AM2" i="3"/>
  <c r="AN1" i="3"/>
  <c r="AO1" i="3" l="1"/>
  <c r="AN5" i="3"/>
  <c r="AN4" i="3"/>
  <c r="AN3" i="3"/>
  <c r="AN2" i="3"/>
  <c r="AO4" i="3" l="1"/>
  <c r="AO3" i="3"/>
  <c r="AO5" i="3"/>
  <c r="AP1" i="3"/>
  <c r="AO2" i="3"/>
  <c r="AP2" i="3" l="1"/>
  <c r="AP3" i="3"/>
  <c r="AQ1" i="3"/>
  <c r="AP5" i="3"/>
  <c r="AP4" i="3"/>
  <c r="AR1" i="3" l="1"/>
  <c r="AQ5" i="3"/>
  <c r="AQ4" i="3"/>
  <c r="AQ3" i="3"/>
  <c r="AQ2" i="3"/>
  <c r="AS1" i="3" l="1"/>
  <c r="AR5" i="3"/>
  <c r="AR4" i="3"/>
  <c r="AR3" i="3"/>
  <c r="AR2" i="3"/>
  <c r="AT1" i="3" l="1"/>
  <c r="AS2" i="3"/>
  <c r="AS5" i="3"/>
  <c r="AS4" i="3"/>
  <c r="AS3" i="3"/>
  <c r="AT5" i="3" l="1"/>
  <c r="AT4" i="3"/>
  <c r="AT3" i="3"/>
  <c r="AT2" i="3"/>
  <c r="AU1" i="3"/>
  <c r="AU4" i="3" l="1"/>
  <c r="AU2" i="3"/>
  <c r="AU3" i="3"/>
  <c r="AU5" i="3"/>
  <c r="AV1" i="3"/>
  <c r="AW1" i="3" l="1"/>
  <c r="AV5" i="3"/>
  <c r="AV4" i="3"/>
  <c r="AV3" i="3"/>
  <c r="AV2" i="3"/>
  <c r="AX1" i="3" l="1"/>
  <c r="AW3" i="3"/>
  <c r="AW2" i="3"/>
  <c r="AW4" i="3"/>
  <c r="AW5" i="3"/>
  <c r="AX4" i="3" l="1"/>
  <c r="AX5" i="3"/>
  <c r="AX3" i="3"/>
  <c r="AY1" i="3"/>
  <c r="AX2" i="3"/>
  <c r="AZ1" i="3" l="1"/>
  <c r="AY5" i="3"/>
  <c r="AY4" i="3"/>
  <c r="AY3" i="3"/>
  <c r="AY2" i="3"/>
  <c r="BA1" i="3" l="1"/>
  <c r="AZ5" i="3"/>
  <c r="AZ4" i="3"/>
  <c r="AZ3" i="3"/>
  <c r="AZ2" i="3"/>
  <c r="BB1" i="3" l="1"/>
  <c r="BA5" i="3"/>
  <c r="BA4" i="3"/>
  <c r="BA3" i="3"/>
  <c r="BA2" i="3"/>
  <c r="BB5" i="3" l="1"/>
  <c r="BB4" i="3"/>
  <c r="BB3" i="3"/>
  <c r="BB2" i="3"/>
  <c r="BC1" i="3"/>
  <c r="BD1" i="3" s="1"/>
  <c r="BD5" i="3" l="1"/>
  <c r="BD3" i="3"/>
  <c r="BD4" i="3"/>
  <c r="BD2" i="3"/>
  <c r="BE1" i="3"/>
  <c r="BC5" i="3"/>
  <c r="BC4" i="3"/>
  <c r="BC3" i="3"/>
  <c r="BC2" i="3"/>
  <c r="BE5" i="3" l="1"/>
  <c r="BE2" i="3"/>
  <c r="BF1" i="3"/>
  <c r="BE4" i="3"/>
  <c r="BE3" i="3"/>
  <c r="BF2" i="3" l="1"/>
  <c r="BF4" i="3"/>
  <c r="BG1" i="3"/>
  <c r="BF3" i="3"/>
  <c r="BF5" i="3"/>
  <c r="BH1" i="3" l="1"/>
  <c r="BG2" i="3"/>
  <c r="BG4" i="3"/>
  <c r="BG5" i="3"/>
  <c r="BG3" i="3"/>
  <c r="BH4" i="3" l="1"/>
  <c r="BI1" i="3"/>
  <c r="BH3" i="3"/>
  <c r="BH5" i="3"/>
  <c r="BH2" i="3"/>
  <c r="BI3" i="3" l="1"/>
  <c r="BI5" i="3"/>
  <c r="BJ1" i="3"/>
  <c r="BI2" i="3"/>
  <c r="BI4" i="3"/>
  <c r="BJ3" i="3" l="1"/>
  <c r="BJ5" i="3"/>
  <c r="BJ2" i="3"/>
  <c r="BK1" i="3"/>
  <c r="BJ4" i="3"/>
  <c r="BK3" i="3" l="1"/>
  <c r="BK2" i="3"/>
  <c r="BK5" i="3"/>
  <c r="BK4" i="3"/>
  <c r="BL1" i="3"/>
  <c r="BL3" i="3" l="1"/>
  <c r="BL5" i="3"/>
  <c r="BM1" i="3"/>
  <c r="BL2" i="3"/>
  <c r="BL4" i="3"/>
  <c r="BM5" i="3" l="1"/>
  <c r="BM4" i="3"/>
  <c r="BM3" i="3"/>
  <c r="BN1" i="3"/>
  <c r="BM2" i="3"/>
  <c r="BN5" i="3" l="1"/>
  <c r="BN2" i="3"/>
  <c r="BN4" i="3"/>
  <c r="BO1" i="3"/>
  <c r="BN3" i="3"/>
  <c r="BO2" i="3" l="1"/>
  <c r="BO4" i="3"/>
  <c r="BP1" i="3"/>
  <c r="BO3" i="3"/>
  <c r="BO5" i="3"/>
  <c r="BP4" i="3" l="1"/>
  <c r="BQ1" i="3"/>
  <c r="BP3" i="3"/>
  <c r="BP5" i="3"/>
  <c r="BP2" i="3"/>
  <c r="BQ4" i="3" l="1"/>
  <c r="BQ3" i="3"/>
  <c r="BQ2" i="3"/>
  <c r="BQ5" i="3"/>
  <c r="BR1" i="3"/>
  <c r="BR3" i="3" l="1"/>
  <c r="BR5" i="3"/>
  <c r="BR2" i="3"/>
  <c r="BR4" i="3"/>
  <c r="BS1" i="3"/>
  <c r="BS3" i="3" l="1"/>
  <c r="BS2" i="3"/>
  <c r="BS5" i="3"/>
  <c r="BS4" i="3"/>
  <c r="BT1" i="3"/>
  <c r="BT5" i="3" l="1"/>
  <c r="BT2" i="3"/>
  <c r="BT4" i="3"/>
  <c r="BT3" i="3"/>
  <c r="BU1" i="3"/>
  <c r="BU5" i="3" l="1"/>
  <c r="BU2" i="3"/>
  <c r="BV1" i="3"/>
  <c r="BU4" i="3"/>
  <c r="BU3" i="3"/>
  <c r="BV2" i="3" l="1"/>
  <c r="BV4" i="3"/>
  <c r="BV5" i="3"/>
  <c r="BW1" i="3"/>
  <c r="BV3" i="3"/>
  <c r="BW4" i="3" l="1"/>
  <c r="BX1" i="3"/>
  <c r="BW3" i="3"/>
  <c r="BW2" i="3"/>
  <c r="BW5" i="3"/>
  <c r="BX4" i="3" l="1"/>
  <c r="BX5" i="3"/>
  <c r="BX2" i="3"/>
  <c r="BY1" i="3"/>
  <c r="BX3" i="3"/>
  <c r="BZ1" i="3" l="1"/>
  <c r="BY3" i="3"/>
  <c r="BY4" i="3"/>
  <c r="BY5" i="3"/>
  <c r="BY2" i="3"/>
  <c r="BZ5" i="3" l="1"/>
  <c r="BZ3" i="3"/>
  <c r="CA1" i="3"/>
  <c r="BZ2" i="3"/>
  <c r="BZ4" i="3"/>
  <c r="CA3" i="3" l="1"/>
  <c r="CA5" i="3"/>
  <c r="CA2" i="3"/>
  <c r="CA4" i="3"/>
  <c r="CB1" i="3"/>
  <c r="CB5" i="3" l="1"/>
  <c r="CB2" i="3"/>
  <c r="CC1" i="3"/>
  <c r="CB3" i="3"/>
  <c r="CB4" i="3"/>
  <c r="CC5" i="3" l="1"/>
  <c r="CD1" i="3"/>
  <c r="CC2" i="3"/>
  <c r="CC4" i="3"/>
  <c r="CC3" i="3"/>
  <c r="CD2" i="3" l="1"/>
  <c r="CD4" i="3"/>
  <c r="CE1" i="3"/>
  <c r="CD3" i="3"/>
  <c r="CD5" i="3"/>
  <c r="CE4" i="3" l="1"/>
  <c r="CF1" i="3"/>
  <c r="CE3" i="3"/>
  <c r="CE2" i="3"/>
  <c r="CE5" i="3"/>
  <c r="CF4" i="3" l="1"/>
  <c r="CG1" i="3"/>
  <c r="CF3" i="3"/>
  <c r="CF5" i="3"/>
  <c r="CF2" i="3"/>
  <c r="CG3" i="3" l="1"/>
  <c r="CG5" i="3"/>
  <c r="CG2" i="3"/>
  <c r="CH1" i="3"/>
  <c r="CG4" i="3"/>
  <c r="CH3" i="3" l="1"/>
  <c r="CH5" i="3"/>
  <c r="CH4" i="3"/>
  <c r="CI1" i="3"/>
  <c r="CH2" i="3"/>
  <c r="CI3" i="3" l="1"/>
  <c r="CI2" i="3"/>
  <c r="CI5" i="3"/>
  <c r="CJ1" i="3"/>
  <c r="CI4" i="3"/>
  <c r="CJ5" i="3" l="1"/>
  <c r="CK1" i="3"/>
  <c r="CJ2" i="3"/>
  <c r="CJ4" i="3"/>
  <c r="CJ3" i="3"/>
  <c r="CK5" i="3" l="1"/>
  <c r="CK2" i="3"/>
  <c r="CK3" i="3"/>
  <c r="CK4" i="3"/>
  <c r="CL1" i="3"/>
  <c r="CL5" i="3" l="1"/>
  <c r="CL2" i="3"/>
  <c r="CL4" i="3"/>
  <c r="CM1" i="3"/>
  <c r="CL3" i="3"/>
  <c r="CM4" i="3" l="1"/>
  <c r="CN1" i="3"/>
  <c r="CM3" i="3"/>
  <c r="CM5" i="3"/>
  <c r="CM2" i="3"/>
  <c r="CN4" i="3" l="1"/>
  <c r="CO1" i="3"/>
  <c r="CN3" i="3"/>
  <c r="CN5" i="3"/>
  <c r="CN2" i="3"/>
  <c r="CO4" i="3" l="1"/>
  <c r="CO3" i="3"/>
  <c r="CO5" i="3"/>
  <c r="CP1" i="3"/>
  <c r="CO2" i="3"/>
  <c r="CQ1" i="3" l="1"/>
  <c r="CP2" i="3"/>
  <c r="CP5" i="3"/>
  <c r="CP4" i="3"/>
  <c r="CP3" i="3"/>
  <c r="CR1" i="3" l="1"/>
  <c r="CQ2" i="3"/>
  <c r="CQ3" i="3"/>
  <c r="CQ5" i="3"/>
  <c r="CQ4" i="3"/>
  <c r="CR4" i="3" l="1"/>
  <c r="CR5" i="3"/>
  <c r="CS1" i="3"/>
  <c r="CR3" i="3"/>
  <c r="CR2" i="3"/>
  <c r="CT1" i="3" l="1"/>
  <c r="CS3" i="3"/>
  <c r="CS5" i="3"/>
  <c r="CS4" i="3"/>
  <c r="CS2" i="3"/>
  <c r="CU1" i="3" l="1"/>
  <c r="CT3" i="3"/>
  <c r="CT5" i="3"/>
  <c r="CT2" i="3"/>
  <c r="CT4" i="3"/>
  <c r="CU2" i="3" l="1"/>
  <c r="CU5" i="3"/>
  <c r="CV1" i="3"/>
  <c r="CU4" i="3"/>
  <c r="CU3" i="3"/>
  <c r="CV5" i="3" l="1"/>
  <c r="CV2" i="3"/>
  <c r="CV4" i="3"/>
  <c r="CW1" i="3"/>
  <c r="CV3" i="3"/>
  <c r="CW4" i="3" l="1"/>
  <c r="CW2" i="3"/>
  <c r="CX1" i="3"/>
  <c r="CW5" i="3"/>
  <c r="CW3" i="3"/>
  <c r="CX4" i="3" l="1"/>
  <c r="CX5" i="3"/>
  <c r="CX2" i="3"/>
  <c r="CY1" i="3"/>
  <c r="CX3" i="3"/>
  <c r="CZ1" i="3" l="1"/>
  <c r="CY2" i="3"/>
  <c r="CY3" i="3"/>
  <c r="CY5" i="3"/>
  <c r="CY4" i="3"/>
  <c r="CZ3" i="3" l="1"/>
  <c r="CZ2" i="3"/>
  <c r="CZ5" i="3"/>
  <c r="CZ4" i="3"/>
  <c r="DA1" i="3"/>
  <c r="DA4" i="3" l="1"/>
  <c r="DA3" i="3"/>
  <c r="DA5" i="3"/>
  <c r="DB1" i="3"/>
  <c r="DA2" i="3"/>
  <c r="DC1" i="3" l="1"/>
  <c r="DB3" i="3"/>
  <c r="DB5" i="3"/>
  <c r="DB2" i="3"/>
  <c r="DB4" i="3"/>
  <c r="DC3" i="3" l="1"/>
  <c r="DC5" i="3"/>
  <c r="DC2" i="3"/>
  <c r="DC4" i="3"/>
  <c r="DD1" i="3"/>
  <c r="DD5" i="3" l="1"/>
  <c r="DD2" i="3"/>
  <c r="DD3" i="3"/>
  <c r="DD4" i="3"/>
  <c r="DE1" i="3"/>
  <c r="DE4" i="3" l="1"/>
  <c r="DF1" i="3"/>
  <c r="DE5" i="3"/>
  <c r="DE2" i="3"/>
  <c r="DE3" i="3"/>
  <c r="DF5" i="3" l="1"/>
  <c r="DF2" i="3"/>
  <c r="DF4" i="3"/>
  <c r="DF3" i="3"/>
  <c r="DG1" i="3"/>
  <c r="DH1" i="3" l="1"/>
  <c r="DG2" i="3"/>
  <c r="DG5" i="3"/>
  <c r="DG3" i="3"/>
  <c r="DG4" i="3"/>
  <c r="DI1" i="3" l="1"/>
  <c r="DH4" i="3"/>
  <c r="DH3" i="3"/>
  <c r="DH2" i="3"/>
  <c r="DH5" i="3"/>
  <c r="DJ1" i="3" l="1"/>
  <c r="DI5" i="3"/>
  <c r="DI4" i="3"/>
  <c r="DI2" i="3"/>
  <c r="DI3" i="3"/>
  <c r="DK1" i="3" l="1"/>
  <c r="DJ3" i="3"/>
  <c r="DJ5" i="3"/>
  <c r="DJ2" i="3"/>
  <c r="DJ4" i="3"/>
  <c r="DK2" i="3" l="1"/>
  <c r="DK5" i="3"/>
  <c r="DK4" i="3"/>
  <c r="DK3" i="3"/>
  <c r="DL1" i="3"/>
  <c r="DL2" i="3" l="1"/>
  <c r="DL4" i="3"/>
  <c r="DM1" i="3"/>
  <c r="DL5" i="3"/>
  <c r="DL3" i="3"/>
  <c r="DN1" i="3" l="1"/>
  <c r="DM2" i="3"/>
  <c r="DM4" i="3"/>
  <c r="DM5" i="3"/>
  <c r="DM3" i="3"/>
  <c r="DO1" i="3" l="1"/>
  <c r="DN3" i="3"/>
  <c r="DN5" i="3"/>
  <c r="DN2" i="3"/>
  <c r="DN4" i="3"/>
  <c r="DP1" i="3" l="1"/>
  <c r="DO2" i="3"/>
  <c r="DO4" i="3"/>
  <c r="DO3" i="3"/>
  <c r="DO5" i="3"/>
  <c r="DQ1" i="3" l="1"/>
  <c r="DP2" i="3"/>
  <c r="DP3" i="3"/>
  <c r="DP5" i="3"/>
  <c r="DP4" i="3"/>
  <c r="DQ4" i="3" l="1"/>
  <c r="DQ3" i="3"/>
  <c r="DQ5" i="3"/>
  <c r="DR1" i="3"/>
  <c r="DQ2" i="3"/>
  <c r="DS1" i="3" l="1"/>
  <c r="DR3" i="3"/>
  <c r="DR5" i="3"/>
  <c r="DR2" i="3"/>
  <c r="DR4" i="3"/>
  <c r="DS5" i="3" l="1"/>
  <c r="DS2" i="3"/>
  <c r="DS3" i="3"/>
  <c r="DS4" i="3"/>
  <c r="DT1" i="3"/>
  <c r="DT5" i="3" l="1"/>
  <c r="DT2" i="3"/>
  <c r="DT4" i="3"/>
  <c r="DT3" i="3"/>
  <c r="DU1" i="3"/>
  <c r="DV1" i="3" l="1"/>
  <c r="DU2" i="3"/>
  <c r="DU3" i="3"/>
  <c r="DU5" i="3"/>
  <c r="DU4" i="3"/>
  <c r="DW1" i="3" l="1"/>
  <c r="DV2" i="3"/>
  <c r="DV5" i="3"/>
  <c r="DV3" i="3"/>
  <c r="DV4" i="3"/>
  <c r="DX1" i="3" l="1"/>
  <c r="DW2" i="3"/>
  <c r="DW4" i="3"/>
  <c r="DW3" i="3"/>
  <c r="DW5" i="3"/>
  <c r="DY1" i="3" l="1"/>
  <c r="DX4" i="3"/>
  <c r="DX3" i="3"/>
  <c r="DX5" i="3"/>
  <c r="DX2" i="3"/>
  <c r="DY4" i="3" l="1"/>
  <c r="DY3" i="3"/>
  <c r="DY5" i="3"/>
  <c r="DY2" i="3"/>
  <c r="DZ1" i="3"/>
  <c r="EA1" i="3" l="1"/>
  <c r="DZ3" i="3"/>
  <c r="DZ2" i="3"/>
  <c r="DZ4" i="3"/>
  <c r="DZ5" i="3"/>
  <c r="EA2" i="3" l="1"/>
  <c r="EA5" i="3"/>
  <c r="EB1" i="3"/>
  <c r="EA4" i="3"/>
  <c r="EA3" i="3"/>
  <c r="EB5" i="3" l="1"/>
  <c r="EB2" i="3"/>
  <c r="EB3" i="3"/>
  <c r="EC1" i="3"/>
  <c r="EB4" i="3"/>
  <c r="EC2" i="3" l="1"/>
  <c r="ED1" i="3"/>
  <c r="EC4" i="3"/>
  <c r="EC5" i="3"/>
  <c r="EC3" i="3"/>
  <c r="ED4" i="3" l="1"/>
  <c r="EE1" i="3"/>
  <c r="ED2" i="3"/>
  <c r="ED3" i="3"/>
  <c r="ED5" i="3"/>
  <c r="EE4" i="3" l="1"/>
  <c r="EF1" i="3"/>
  <c r="EE5" i="3"/>
  <c r="EE3" i="3"/>
  <c r="EE2" i="3"/>
  <c r="EG1" i="3" l="1"/>
  <c r="EF4" i="3"/>
  <c r="EF3" i="3"/>
  <c r="EF2" i="3"/>
  <c r="EF5" i="3"/>
  <c r="EG3" i="3" l="1"/>
  <c r="EG4" i="3"/>
  <c r="EG2" i="3"/>
  <c r="EG5" i="3"/>
</calcChain>
</file>

<file path=xl/sharedStrings.xml><?xml version="1.0" encoding="utf-8"?>
<sst xmlns="http://schemas.openxmlformats.org/spreadsheetml/2006/main" count="264" uniqueCount="117">
  <si>
    <t>No</t>
    <phoneticPr fontId="1"/>
  </si>
  <si>
    <t>優先度</t>
    <rPh sb="0" eb="3">
      <t>ユウセンド</t>
    </rPh>
    <phoneticPr fontId="1"/>
  </si>
  <si>
    <t>予定</t>
    <rPh sb="0" eb="2">
      <t>ヨテイ</t>
    </rPh>
    <phoneticPr fontId="1"/>
  </si>
  <si>
    <t>工数</t>
    <rPh sb="0" eb="2">
      <t>コウスウ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</si>
  <si>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</si>
  <si>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</si>
  <si>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</si>
  <si>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</si>
  <si>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案件名</t>
    <phoneticPr fontId="1"/>
  </si>
  <si>
    <t>その他</t>
    <rPh sb="2" eb="3">
      <t>タ</t>
    </rPh>
    <phoneticPr fontId="1"/>
  </si>
  <si>
    <t>案件</t>
    <phoneticPr fontId="1"/>
  </si>
  <si>
    <t>休日設定</t>
    <rPh sb="0" eb="2">
      <t>キュウジツ</t>
    </rPh>
    <rPh sb="2" eb="4">
      <t>セッテイ</t>
    </rPh>
    <phoneticPr fontId="1"/>
  </si>
  <si>
    <t>元日</t>
    <rPh sb="0" eb="2">
      <t>ガンジツ</t>
    </rPh>
    <phoneticPr fontId="1"/>
  </si>
  <si>
    <t>1/1固定</t>
    <rPh sb="3" eb="5">
      <t>コテイ</t>
    </rPh>
    <phoneticPr fontId="1"/>
  </si>
  <si>
    <t>成人の日</t>
    <rPh sb="0" eb="2">
      <t>セイジン</t>
    </rPh>
    <rPh sb="3" eb="4">
      <t>ヒ</t>
    </rPh>
    <phoneticPr fontId="1"/>
  </si>
  <si>
    <t>1月第2月曜日</t>
    <rPh sb="1" eb="2">
      <t>ガツ</t>
    </rPh>
    <rPh sb="2" eb="3">
      <t>ダイ</t>
    </rPh>
    <rPh sb="4" eb="7">
      <t>ゲツヨウビ</t>
    </rPh>
    <phoneticPr fontId="1"/>
  </si>
  <si>
    <t>建国記念日</t>
    <rPh sb="0" eb="2">
      <t>ケンコク</t>
    </rPh>
    <rPh sb="2" eb="5">
      <t>キネンビ</t>
    </rPh>
    <phoneticPr fontId="1"/>
  </si>
  <si>
    <t>2/11固定</t>
    <rPh sb="4" eb="6">
      <t>コテイ</t>
    </rPh>
    <phoneticPr fontId="1"/>
  </si>
  <si>
    <t>春分の日</t>
    <rPh sb="0" eb="2">
      <t>シュンブン</t>
    </rPh>
    <rPh sb="3" eb="4">
      <t>ヒ</t>
    </rPh>
    <phoneticPr fontId="1"/>
  </si>
  <si>
    <t>昭和の日</t>
    <rPh sb="0" eb="2">
      <t>ショウワ</t>
    </rPh>
    <rPh sb="3" eb="4">
      <t>ヒ</t>
    </rPh>
    <phoneticPr fontId="1"/>
  </si>
  <si>
    <t>4/29固定</t>
    <rPh sb="4" eb="6">
      <t>コテイ</t>
    </rPh>
    <phoneticPr fontId="1"/>
  </si>
  <si>
    <t>憲法記念日</t>
    <rPh sb="0" eb="2">
      <t>ケンポウ</t>
    </rPh>
    <rPh sb="2" eb="5">
      <t>キネンビ</t>
    </rPh>
    <phoneticPr fontId="1"/>
  </si>
  <si>
    <t>5/3固定</t>
    <rPh sb="3" eb="5">
      <t>コテイ</t>
    </rPh>
    <phoneticPr fontId="1"/>
  </si>
  <si>
    <t>みどりの日</t>
    <rPh sb="4" eb="5">
      <t>ヒ</t>
    </rPh>
    <phoneticPr fontId="1"/>
  </si>
  <si>
    <t>5/4固定</t>
    <rPh sb="3" eb="5">
      <t>コテイ</t>
    </rPh>
    <phoneticPr fontId="1"/>
  </si>
  <si>
    <t>こどもの日</t>
    <rPh sb="4" eb="5">
      <t>ヒ</t>
    </rPh>
    <phoneticPr fontId="1"/>
  </si>
  <si>
    <t>5/5固定</t>
    <rPh sb="3" eb="5">
      <t>コテイ</t>
    </rPh>
    <phoneticPr fontId="1"/>
  </si>
  <si>
    <t>海の日</t>
    <rPh sb="0" eb="1">
      <t>ウミ</t>
    </rPh>
    <rPh sb="2" eb="3">
      <t>ヒ</t>
    </rPh>
    <phoneticPr fontId="1"/>
  </si>
  <si>
    <t>7月第4月曜日</t>
    <rPh sb="1" eb="2">
      <t>ガツ</t>
    </rPh>
    <rPh sb="2" eb="3">
      <t>ダイ</t>
    </rPh>
    <rPh sb="4" eb="6">
      <t>ゲツヨウ</t>
    </rPh>
    <rPh sb="6" eb="7">
      <t>ビ</t>
    </rPh>
    <phoneticPr fontId="1"/>
  </si>
  <si>
    <t>山の日</t>
    <rPh sb="0" eb="1">
      <t>ヤマ</t>
    </rPh>
    <rPh sb="2" eb="3">
      <t>ヒ</t>
    </rPh>
    <phoneticPr fontId="1"/>
  </si>
  <si>
    <t>8/11固定</t>
    <rPh sb="4" eb="6">
      <t>コテイ</t>
    </rPh>
    <phoneticPr fontId="1"/>
  </si>
  <si>
    <t>敬老の日</t>
    <rPh sb="0" eb="2">
      <t>ケイロウ</t>
    </rPh>
    <rPh sb="3" eb="4">
      <t>ヒ</t>
    </rPh>
    <phoneticPr fontId="1"/>
  </si>
  <si>
    <t>9月第3月曜日</t>
    <rPh sb="1" eb="2">
      <t>ガツ</t>
    </rPh>
    <rPh sb="2" eb="3">
      <t>ダイ</t>
    </rPh>
    <rPh sb="4" eb="7">
      <t>ゲツヨウビ</t>
    </rPh>
    <phoneticPr fontId="1"/>
  </si>
  <si>
    <t>秋分の日</t>
    <rPh sb="0" eb="2">
      <t>シュウブン</t>
    </rPh>
    <rPh sb="3" eb="4">
      <t>ヒ</t>
    </rPh>
    <phoneticPr fontId="1"/>
  </si>
  <si>
    <t>体育の日</t>
    <rPh sb="0" eb="2">
      <t>タイイク</t>
    </rPh>
    <rPh sb="3" eb="4">
      <t>ヒ</t>
    </rPh>
    <phoneticPr fontId="1"/>
  </si>
  <si>
    <t>10月第2月曜日</t>
    <rPh sb="2" eb="3">
      <t>ガツ</t>
    </rPh>
    <rPh sb="3" eb="4">
      <t>ダイ</t>
    </rPh>
    <rPh sb="5" eb="8">
      <t>ゲツヨウビ</t>
    </rPh>
    <phoneticPr fontId="1"/>
  </si>
  <si>
    <t>文化の日</t>
    <rPh sb="0" eb="2">
      <t>ブンカ</t>
    </rPh>
    <rPh sb="3" eb="4">
      <t>ヒ</t>
    </rPh>
    <phoneticPr fontId="1"/>
  </si>
  <si>
    <t>11/3固定</t>
    <rPh sb="4" eb="6">
      <t>コテイ</t>
    </rPh>
    <phoneticPr fontId="1"/>
  </si>
  <si>
    <t>勤労感謝の日</t>
    <rPh sb="0" eb="2">
      <t>キンロウ</t>
    </rPh>
    <rPh sb="2" eb="4">
      <t>カンシャ</t>
    </rPh>
    <rPh sb="5" eb="6">
      <t>ヒ</t>
    </rPh>
    <phoneticPr fontId="1"/>
  </si>
  <si>
    <t>11/23固定</t>
    <rPh sb="5" eb="7">
      <t>コテイ</t>
    </rPh>
    <phoneticPr fontId="1"/>
  </si>
  <si>
    <t>天皇誕生日</t>
    <rPh sb="0" eb="2">
      <t>テンノウ</t>
    </rPh>
    <rPh sb="2" eb="5">
      <t>タンジョウビ</t>
    </rPh>
    <phoneticPr fontId="1"/>
  </si>
  <si>
    <t>12/23固定</t>
    <rPh sb="5" eb="7">
      <t>コテイ</t>
    </rPh>
    <phoneticPr fontId="1"/>
  </si>
  <si>
    <t>その他休日１</t>
    <rPh sb="2" eb="3">
      <t>タ</t>
    </rPh>
    <rPh sb="3" eb="5">
      <t>キュウジツ</t>
    </rPh>
    <phoneticPr fontId="1"/>
  </si>
  <si>
    <t>その他休日２</t>
    <rPh sb="2" eb="3">
      <t>タ</t>
    </rPh>
    <rPh sb="3" eb="5">
      <t>キュウジツ</t>
    </rPh>
    <phoneticPr fontId="1"/>
  </si>
  <si>
    <t>その他休日３</t>
    <rPh sb="2" eb="3">
      <t>タ</t>
    </rPh>
    <rPh sb="3" eb="5">
      <t>キュウジツ</t>
    </rPh>
    <phoneticPr fontId="1"/>
  </si>
  <si>
    <t>その他休日４</t>
    <rPh sb="2" eb="3">
      <t>タ</t>
    </rPh>
    <rPh sb="3" eb="5">
      <t>キュウジツ</t>
    </rPh>
    <phoneticPr fontId="1"/>
  </si>
  <si>
    <t>その他休日５</t>
    <rPh sb="2" eb="3">
      <t>タ</t>
    </rPh>
    <rPh sb="3" eb="5">
      <t>キュウジツ</t>
    </rPh>
    <phoneticPr fontId="1"/>
  </si>
  <si>
    <t>その他休日６</t>
    <rPh sb="2" eb="3">
      <t>タ</t>
    </rPh>
    <rPh sb="3" eb="5">
      <t>キュウジツ</t>
    </rPh>
    <phoneticPr fontId="1"/>
  </si>
  <si>
    <t>その他休日７</t>
    <rPh sb="2" eb="3">
      <t>タ</t>
    </rPh>
    <rPh sb="3" eb="5">
      <t>キュウジツ</t>
    </rPh>
    <phoneticPr fontId="1"/>
  </si>
  <si>
    <t>その他休日８</t>
    <rPh sb="2" eb="3">
      <t>タ</t>
    </rPh>
    <rPh sb="3" eb="5">
      <t>キュウジツ</t>
    </rPh>
    <phoneticPr fontId="1"/>
  </si>
  <si>
    <t>その他休日９</t>
    <rPh sb="2" eb="3">
      <t>タ</t>
    </rPh>
    <rPh sb="3" eb="5">
      <t>キュウジツ</t>
    </rPh>
    <phoneticPr fontId="1"/>
  </si>
  <si>
    <t>その他休日１０</t>
    <rPh sb="2" eb="3">
      <t>タ</t>
    </rPh>
    <rPh sb="3" eb="5">
      <t>キュウジツ</t>
    </rPh>
    <phoneticPr fontId="1"/>
  </si>
  <si>
    <t>その他休日１１</t>
    <rPh sb="2" eb="3">
      <t>タ</t>
    </rPh>
    <rPh sb="3" eb="5">
      <t>キュウジツ</t>
    </rPh>
    <phoneticPr fontId="1"/>
  </si>
  <si>
    <t>その他休日１２</t>
    <rPh sb="2" eb="3">
      <t>タ</t>
    </rPh>
    <rPh sb="3" eb="5">
      <t>キュウジツ</t>
    </rPh>
    <phoneticPr fontId="1"/>
  </si>
  <si>
    <t>その他休日１３</t>
    <rPh sb="2" eb="3">
      <t>タ</t>
    </rPh>
    <rPh sb="3" eb="5">
      <t>キュウジツ</t>
    </rPh>
    <phoneticPr fontId="1"/>
  </si>
  <si>
    <t>その他休日１４</t>
    <rPh sb="2" eb="3">
      <t>タ</t>
    </rPh>
    <rPh sb="3" eb="5">
      <t>キュウジツ</t>
    </rPh>
    <phoneticPr fontId="1"/>
  </si>
  <si>
    <t>その他休日１５</t>
    <rPh sb="2" eb="3">
      <t>タ</t>
    </rPh>
    <rPh sb="3" eb="5">
      <t>キュウジツ</t>
    </rPh>
    <phoneticPr fontId="1"/>
  </si>
  <si>
    <t>その他休日１６</t>
    <rPh sb="2" eb="3">
      <t>タ</t>
    </rPh>
    <rPh sb="3" eb="5">
      <t>キュウジツ</t>
    </rPh>
    <phoneticPr fontId="1"/>
  </si>
  <si>
    <t>その他休日１７</t>
    <rPh sb="2" eb="3">
      <t>タ</t>
    </rPh>
    <rPh sb="3" eb="5">
      <t>キュウジツ</t>
    </rPh>
    <phoneticPr fontId="1"/>
  </si>
  <si>
    <t>その他休日１８</t>
    <rPh sb="2" eb="3">
      <t>タ</t>
    </rPh>
    <rPh sb="3" eb="5">
      <t>キュウジツ</t>
    </rPh>
    <phoneticPr fontId="1"/>
  </si>
  <si>
    <t>その他休日１９</t>
    <rPh sb="2" eb="3">
      <t>タ</t>
    </rPh>
    <rPh sb="3" eb="5">
      <t>キュウジツ</t>
    </rPh>
    <phoneticPr fontId="1"/>
  </si>
  <si>
    <t>その他休日２０</t>
    <rPh sb="2" eb="3">
      <t>タ</t>
    </rPh>
    <rPh sb="3" eb="5">
      <t>キュウジツ</t>
    </rPh>
    <phoneticPr fontId="1"/>
  </si>
  <si>
    <t>その他休日２１</t>
    <rPh sb="2" eb="3">
      <t>タ</t>
    </rPh>
    <rPh sb="3" eb="5">
      <t>キュウジツ</t>
    </rPh>
    <phoneticPr fontId="1"/>
  </si>
  <si>
    <t>その他休日２２</t>
    <rPh sb="2" eb="3">
      <t>タ</t>
    </rPh>
    <rPh sb="3" eb="5">
      <t>キュウジツ</t>
    </rPh>
    <phoneticPr fontId="1"/>
  </si>
  <si>
    <t>その他休日２３</t>
    <rPh sb="2" eb="3">
      <t>タ</t>
    </rPh>
    <rPh sb="3" eb="5">
      <t>キュウジツ</t>
    </rPh>
    <phoneticPr fontId="1"/>
  </si>
  <si>
    <t>その他休日２４</t>
    <rPh sb="2" eb="3">
      <t>タ</t>
    </rPh>
    <rPh sb="3" eb="5">
      <t>キュウジツ</t>
    </rPh>
    <phoneticPr fontId="1"/>
  </si>
  <si>
    <t>その他休日２５</t>
    <rPh sb="2" eb="3">
      <t>タ</t>
    </rPh>
    <rPh sb="3" eb="5">
      <t>キュウジツ</t>
    </rPh>
    <phoneticPr fontId="1"/>
  </si>
  <si>
    <t>その他休日２６</t>
    <rPh sb="2" eb="3">
      <t>タ</t>
    </rPh>
    <rPh sb="3" eb="5">
      <t>キュウジツ</t>
    </rPh>
    <phoneticPr fontId="1"/>
  </si>
  <si>
    <t>その他休日２７</t>
    <rPh sb="2" eb="3">
      <t>タ</t>
    </rPh>
    <rPh sb="3" eb="5">
      <t>キュウジツ</t>
    </rPh>
    <phoneticPr fontId="1"/>
  </si>
  <si>
    <t>その他休日２８</t>
    <rPh sb="2" eb="3">
      <t>タ</t>
    </rPh>
    <rPh sb="3" eb="5">
      <t>キュウジツ</t>
    </rPh>
    <phoneticPr fontId="1"/>
  </si>
  <si>
    <t>その他休日２９</t>
    <rPh sb="2" eb="3">
      <t>タ</t>
    </rPh>
    <rPh sb="3" eb="5">
      <t>キュウジツ</t>
    </rPh>
    <phoneticPr fontId="1"/>
  </si>
  <si>
    <t>その他休日３０</t>
    <rPh sb="2" eb="3">
      <t>タ</t>
    </rPh>
    <rPh sb="3" eb="5">
      <t>キュウジツ</t>
    </rPh>
    <phoneticPr fontId="1"/>
  </si>
  <si>
    <t>休日名</t>
    <rPh sb="0" eb="2">
      <t>キュウジツ</t>
    </rPh>
    <rPh sb="2" eb="3">
      <t>メイ</t>
    </rPh>
    <phoneticPr fontId="1"/>
  </si>
  <si>
    <t>日付</t>
    <rPh sb="0" eb="2">
      <t>ヒヅケ</t>
    </rPh>
    <phoneticPr fontId="1"/>
  </si>
  <si>
    <t>備考</t>
    <rPh sb="0" eb="2">
      <t>ビコウ</t>
    </rPh>
    <phoneticPr fontId="1"/>
  </si>
  <si>
    <t>例</t>
    <rPh sb="0" eb="1">
      <t>レイ</t>
    </rPh>
    <phoneticPr fontId="1"/>
  </si>
  <si>
    <t>自動でスケジュール表の予定埋めを行う</t>
    <rPh sb="0" eb="2">
      <t>ジドウ</t>
    </rPh>
    <rPh sb="9" eb="10">
      <t>ヒョウ</t>
    </rPh>
    <rPh sb="11" eb="13">
      <t>ヨテイ</t>
    </rPh>
    <rPh sb="13" eb="14">
      <t>ウ</t>
    </rPh>
    <rPh sb="16" eb="17">
      <t>オコナ</t>
    </rPh>
    <phoneticPr fontId="1"/>
  </si>
  <si>
    <t>自動でスケジュール表の本日までの実績埋めを行う</t>
    <rPh sb="0" eb="2">
      <t>ジドウ</t>
    </rPh>
    <rPh sb="9" eb="10">
      <t>ヒョウ</t>
    </rPh>
    <rPh sb="11" eb="13">
      <t>ホンジツ</t>
    </rPh>
    <rPh sb="16" eb="18">
      <t>ジッセキ</t>
    </rPh>
    <rPh sb="18" eb="19">
      <t>ウ</t>
    </rPh>
    <rPh sb="21" eb="22">
      <t>オコナ</t>
    </rPh>
    <phoneticPr fontId="1"/>
  </si>
  <si>
    <t>予定セルの色</t>
    <rPh sb="0" eb="2">
      <t>ヨテイ</t>
    </rPh>
    <rPh sb="5" eb="6">
      <t>イロ</t>
    </rPh>
    <phoneticPr fontId="1"/>
  </si>
  <si>
    <t>実績（実施中）のセル値</t>
    <rPh sb="0" eb="2">
      <t>ジッセキ</t>
    </rPh>
    <rPh sb="3" eb="6">
      <t>ジッシチュウ</t>
    </rPh>
    <rPh sb="10" eb="11">
      <t>チ</t>
    </rPh>
    <phoneticPr fontId="1"/>
  </si>
  <si>
    <t>予定の進捗状況記入欄を作る</t>
    <rPh sb="0" eb="2">
      <t>ヨテイ</t>
    </rPh>
    <rPh sb="3" eb="5">
      <t>シンチョク</t>
    </rPh>
    <rPh sb="5" eb="7">
      <t>ジョウキョウ</t>
    </rPh>
    <rPh sb="7" eb="9">
      <t>キニュウ</t>
    </rPh>
    <rPh sb="9" eb="10">
      <t>ラン</t>
    </rPh>
    <rPh sb="11" eb="12">
      <t>ツク</t>
    </rPh>
    <phoneticPr fontId="1"/>
  </si>
  <si>
    <t>予定の進捗状況記入欄を自動で埋める</t>
    <rPh sb="0" eb="2">
      <t>ヨテイ</t>
    </rPh>
    <rPh sb="3" eb="5">
      <t>シンチョク</t>
    </rPh>
    <rPh sb="5" eb="7">
      <t>ジョウキョウ</t>
    </rPh>
    <rPh sb="7" eb="9">
      <t>キニュウ</t>
    </rPh>
    <rPh sb="9" eb="10">
      <t>ラン</t>
    </rPh>
    <rPh sb="11" eb="13">
      <t>ジドウ</t>
    </rPh>
    <rPh sb="14" eb="15">
      <t>ウ</t>
    </rPh>
    <phoneticPr fontId="1"/>
  </si>
  <si>
    <t>○</t>
    <phoneticPr fontId="1"/>
  </si>
  <si>
    <t>●</t>
    <phoneticPr fontId="1"/>
  </si>
  <si>
    <t>案件名の列を任意に追加できるようにする</t>
    <rPh sb="0" eb="2">
      <t>アンケン</t>
    </rPh>
    <rPh sb="2" eb="3">
      <t>メイ</t>
    </rPh>
    <rPh sb="4" eb="5">
      <t>レツ</t>
    </rPh>
    <rPh sb="6" eb="8">
      <t>ニンイ</t>
    </rPh>
    <rPh sb="9" eb="11">
      <t>ツイカ</t>
    </rPh>
    <phoneticPr fontId="1"/>
  </si>
  <si>
    <t>ツリー情報配下を取得して日別実績を入力できるようにする</t>
    <rPh sb="3" eb="5">
      <t>ジョウホウ</t>
    </rPh>
    <rPh sb="5" eb="7">
      <t>ハイカ</t>
    </rPh>
    <rPh sb="8" eb="10">
      <t>シュトク</t>
    </rPh>
    <rPh sb="12" eb="13">
      <t>ヒ</t>
    </rPh>
    <rPh sb="13" eb="14">
      <t>ベツ</t>
    </rPh>
    <rPh sb="14" eb="16">
      <t>ジッセキ</t>
    </rPh>
    <rPh sb="17" eb="19">
      <t>ニュウリョク</t>
    </rPh>
    <phoneticPr fontId="1"/>
  </si>
  <si>
    <t>日別実績集計シートを作る</t>
    <rPh sb="0" eb="1">
      <t>ヒ</t>
    </rPh>
    <rPh sb="1" eb="2">
      <t>ベツ</t>
    </rPh>
    <rPh sb="2" eb="4">
      <t>ジッセキ</t>
    </rPh>
    <rPh sb="4" eb="6">
      <t>シュウケイ</t>
    </rPh>
    <rPh sb="10" eb="11">
      <t>ツク</t>
    </rPh>
    <phoneticPr fontId="1"/>
  </si>
  <si>
    <t>マイルストーンシートを作る</t>
    <rPh sb="11" eb="12">
      <t>ツク</t>
    </rPh>
    <phoneticPr fontId="1"/>
  </si>
  <si>
    <t>案件名で囲えるようにする</t>
    <rPh sb="0" eb="2">
      <t>アンケン</t>
    </rPh>
    <rPh sb="2" eb="3">
      <t>メイ</t>
    </rPh>
    <rPh sb="4" eb="5">
      <t>カコ</t>
    </rPh>
    <phoneticPr fontId="1"/>
  </si>
  <si>
    <t/>
  </si>
  <si>
    <t>期間</t>
    <rPh sb="0" eb="2">
      <t>キカン</t>
    </rPh>
    <phoneticPr fontId="1"/>
  </si>
  <si>
    <t>●</t>
  </si>
  <si>
    <t>△</t>
    <phoneticPr fontId="1"/>
  </si>
  <si>
    <t>○</t>
  </si>
  <si>
    <t>○</t>
    <phoneticPr fontId="1"/>
  </si>
  <si>
    <t>年毎の休暇を自動計算させる</t>
    <rPh sb="0" eb="1">
      <t>ネン</t>
    </rPh>
    <rPh sb="1" eb="2">
      <t>ゴト</t>
    </rPh>
    <rPh sb="3" eb="5">
      <t>キュウカ</t>
    </rPh>
    <rPh sb="6" eb="8">
      <t>ジドウ</t>
    </rPh>
    <rPh sb="8" eb="10">
      <t>ケイサン</t>
    </rPh>
    <phoneticPr fontId="1"/>
  </si>
  <si>
    <t>種別</t>
    <rPh sb="0" eb="2">
      <t>シュベツ</t>
    </rPh>
    <phoneticPr fontId="1"/>
  </si>
  <si>
    <t>国の祝日</t>
    <rPh sb="0" eb="1">
      <t>クニ</t>
    </rPh>
    <rPh sb="2" eb="4">
      <t>シュクジツ</t>
    </rPh>
    <phoneticPr fontId="1"/>
  </si>
  <si>
    <t>3/21固定※</t>
    <rPh sb="4" eb="6">
      <t>コテイ</t>
    </rPh>
    <phoneticPr fontId="1"/>
  </si>
  <si>
    <t>9/23固定※</t>
    <rPh sb="4" eb="6">
      <t>コテイ</t>
    </rPh>
    <phoneticPr fontId="1"/>
  </si>
  <si>
    <t>作業日</t>
    <rPh sb="0" eb="3">
      <t>サギョウビ</t>
    </rPh>
    <phoneticPr fontId="1"/>
  </si>
  <si>
    <t>作業者</t>
    <rPh sb="0" eb="3">
      <t>サギョウシャ</t>
    </rPh>
    <phoneticPr fontId="1"/>
  </si>
  <si>
    <t>工数(h)</t>
    <rPh sb="0" eb="2">
      <t>コウスウ</t>
    </rPh>
    <phoneticPr fontId="1"/>
  </si>
  <si>
    <t>A</t>
    <phoneticPr fontId="1"/>
  </si>
  <si>
    <t>い</t>
    <phoneticPr fontId="1"/>
  </si>
  <si>
    <t>あ</t>
    <phoneticPr fontId="1"/>
  </si>
  <si>
    <t>①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</si>
  <si>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</si>
  <si>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</si>
  <si>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</si>
  <si>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</si>
  <si>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②</t>
    <phoneticPr fontId="1"/>
  </si>
  <si>
    <t>a</t>
    <phoneticPr fontId="1"/>
  </si>
  <si>
    <t>③</t>
    <phoneticPr fontId="1"/>
  </si>
  <si>
    <t>ろ</t>
    <phoneticPr fontId="1"/>
  </si>
  <si>
    <t>B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</si>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</sst>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8" x14ac:knownFonts="1">
    <font>
      <sz val="11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vertical="top"/>
    </xf>
    <xf numFmtId="0" fontId="0" fillId="2" borderId="2" xfId="0" applyFill="1" applyBorder="1" applyAlignment="1">
      <alignment vertical="top"/>
    </xf>
    <xf numFmtId="0" fontId="0" fillId="2" borderId="3" xfId="0" applyFill="1" applyBorder="1" applyAlignment="1">
      <alignment vertical="top"/>
    </xf>
    <xf numFmtId="0" fontId="0" fillId="2" borderId="4" xfId="0" applyFill="1" applyBorder="1" applyAlignment="1">
      <alignment vertical="top"/>
    </xf>
    <xf numFmtId="0" fontId="0" fillId="2" borderId="1" xfId="0" applyFill="1" applyBorder="1" applyAlignment="1">
      <alignment horizontal="left" vertical="top" wrapText="1"/>
    </xf>
    <xf numFmtId="0" fontId="0" fillId="5" borderId="1" xfId="0" applyFill="1" applyBorder="1" applyAlignment="1">
      <alignment vertical="top"/>
    </xf>
    <xf numFmtId="14" fontId="2" fillId="4" borderId="0" xfId="0" applyNumberFormat="1" applyFont="1" applyFill="1">
      <alignment vertical="center"/>
    </xf>
    <xf numFmtId="0" fontId="2" fillId="0" borderId="0" xfId="0" applyFont="1">
      <alignment vertical="center"/>
    </xf>
    <xf numFmtId="0" fontId="2" fillId="4" borderId="0" xfId="0" applyNumberFormat="1" applyFont="1" applyFill="1">
      <alignment vertical="center"/>
    </xf>
    <xf numFmtId="0" fontId="2" fillId="4" borderId="0" xfId="0" applyFont="1" applyFill="1">
      <alignment vertical="center"/>
    </xf>
    <xf numFmtId="0" fontId="0" fillId="6" borderId="0" xfId="0" applyFill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0" fontId="2" fillId="4" borderId="7" xfId="0" applyFont="1" applyFill="1" applyBorder="1" applyAlignment="1">
      <alignment horizontal="center" vertical="top"/>
    </xf>
    <xf numFmtId="0" fontId="3" fillId="6" borderId="8" xfId="0" applyFont="1" applyFill="1" applyBorder="1">
      <alignment vertical="center"/>
    </xf>
    <xf numFmtId="0" fontId="4" fillId="6" borderId="9" xfId="0" applyFont="1" applyFill="1" applyBorder="1">
      <alignment vertical="center"/>
    </xf>
    <xf numFmtId="0" fontId="4" fillId="6" borderId="10" xfId="0" applyFont="1" applyFill="1" applyBorder="1">
      <alignment vertical="center"/>
    </xf>
    <xf numFmtId="0" fontId="4" fillId="6" borderId="11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6" borderId="12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14" xfId="0" applyFill="1" applyBorder="1">
      <alignment vertical="center"/>
    </xf>
    <xf numFmtId="0" fontId="4" fillId="0" borderId="15" xfId="0" applyFont="1" applyBorder="1">
      <alignment vertical="center"/>
    </xf>
    <xf numFmtId="0" fontId="4" fillId="0" borderId="16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0" fontId="4" fillId="3" borderId="15" xfId="0" applyFont="1" applyFill="1" applyBorder="1">
      <alignment vertical="center"/>
    </xf>
    <xf numFmtId="0" fontId="4" fillId="0" borderId="17" xfId="0" quotePrefix="1" applyFont="1" applyBorder="1">
      <alignment vertical="center"/>
    </xf>
    <xf numFmtId="0" fontId="4" fillId="0" borderId="18" xfId="0" quotePrefix="1" applyFont="1" applyBorder="1">
      <alignment vertical="center"/>
    </xf>
    <xf numFmtId="0" fontId="0" fillId="2" borderId="1" xfId="0" applyFill="1" applyBorder="1" applyAlignment="1">
      <alignment horizontal="left" vertical="center"/>
    </xf>
    <xf numFmtId="176" fontId="4" fillId="6" borderId="8" xfId="0" applyNumberFormat="1" applyFont="1" applyFill="1" applyBorder="1" applyAlignment="1">
      <alignment vertical="center" shrinkToFit="1"/>
    </xf>
    <xf numFmtId="176" fontId="4" fillId="8" borderId="8" xfId="0" applyNumberFormat="1" applyFont="1" applyFill="1" applyBorder="1" applyAlignment="1">
      <alignment vertical="center" shrinkToFit="1"/>
    </xf>
    <xf numFmtId="176" fontId="4" fillId="0" borderId="15" xfId="0" applyNumberFormat="1" applyFont="1" applyBorder="1" applyAlignment="1">
      <alignment vertical="center" shrinkToFit="1"/>
    </xf>
    <xf numFmtId="176" fontId="4" fillId="3" borderId="15" xfId="0" applyNumberFormat="1" applyFont="1" applyFill="1" applyBorder="1" applyAlignment="1">
      <alignment vertical="center" shrinkToFit="1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14" fontId="5" fillId="0" borderId="1" xfId="0" applyNumberFormat="1" applyFont="1" applyBorder="1">
      <alignment vertical="center"/>
    </xf>
    <xf numFmtId="0" fontId="5" fillId="7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5" fillId="0" borderId="1" xfId="0" applyFont="1" applyBorder="1">
      <alignment vertical="center"/>
    </xf>
    <xf numFmtId="176" fontId="5" fillId="2" borderId="1" xfId="0" applyNumberFormat="1" applyFont="1" applyFill="1" applyBorder="1">
      <alignment vertical="center"/>
    </xf>
    <xf numFmtId="176" fontId="5" fillId="0" borderId="1" xfId="0" applyNumberFormat="1" applyFont="1" applyBorder="1">
      <alignment vertical="center"/>
    </xf>
    <xf numFmtId="176" fontId="5" fillId="0" borderId="0" xfId="0" applyNumberFormat="1" applyFont="1">
      <alignment vertical="center"/>
    </xf>
    <xf numFmtId="0" fontId="5" fillId="5" borderId="1" xfId="0" applyFont="1" applyFill="1" applyBorder="1">
      <alignment vertical="center"/>
    </xf>
    <xf numFmtId="0" fontId="0" fillId="9" borderId="19" xfId="0" applyFont="1" applyFill="1" applyBorder="1" applyAlignment="1">
      <alignment horizontal="center" vertical="center"/>
    </xf>
    <xf numFmtId="0" fontId="0" fillId="9" borderId="20" xfId="0" applyFont="1" applyFill="1" applyBorder="1" applyAlignment="1">
      <alignment horizontal="center" vertical="center"/>
    </xf>
    <xf numFmtId="0" fontId="0" fillId="7" borderId="20" xfId="0" applyFont="1" applyFill="1" applyBorder="1" applyAlignment="1">
      <alignment horizontal="center" vertical="center"/>
    </xf>
    <xf numFmtId="0" fontId="0" fillId="9" borderId="21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0" fontId="0" fillId="0" borderId="0" xfId="0" applyFont="1">
      <alignment vertical="center"/>
    </xf>
    <xf numFmtId="176" fontId="0" fillId="2" borderId="1" xfId="0" applyNumberFormat="1" applyFont="1" applyFill="1" applyBorder="1">
      <alignment vertical="center"/>
    </xf>
    <xf numFmtId="176" fontId="0" fillId="0" borderId="1" xfId="0" applyNumberFormat="1" applyFont="1" applyBorder="1">
      <alignment vertical="center"/>
    </xf>
    <xf numFmtId="0" fontId="0" fillId="0" borderId="1" xfId="0" applyFont="1" applyBorder="1">
      <alignment vertical="center"/>
    </xf>
    <xf numFmtId="176" fontId="0" fillId="0" borderId="1" xfId="0" applyNumberFormat="1" applyFont="1" applyBorder="1" applyAlignment="1">
      <alignment vertical="center" wrapText="1"/>
    </xf>
    <xf numFmtId="0" fontId="4" fillId="0" borderId="1" xfId="0" applyFont="1" applyBorder="1">
      <alignment vertical="center"/>
    </xf>
    <xf numFmtId="0" fontId="0" fillId="0" borderId="1" xfId="0" quotePrefix="1" applyBorder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2" borderId="4" xfId="0" applyFont="1" applyFill="1" applyBorder="1" applyAlignment="1">
      <alignment vertical="top"/>
    </xf>
  </cellXfs>
  <cellStyles count="1">
    <cellStyle name="標準" xfId="0" builtinId="0" customBuiltin="1"/>
  </cellStyles>
  <dxfs count="2">
    <dxf>
      <fill>
        <patternFill>
          <bgColor theme="6" tint="0.59996337778862885"/>
        </patternFill>
      </fill>
    </dxf>
    <dxf>
      <font>
        <b/>
        <i val="0"/>
      </font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CCFFFF"/>
      <color rgb="FFCCFFCC"/>
      <color rgb="FF66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66675</xdr:rowOff>
        </xdr:from>
        <xdr:to>
          <xdr:col>4</xdr:col>
          <xdr:colOff>123825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スケジュール更新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1447800</xdr:colOff>
          <xdr:row>0</xdr:row>
          <xdr:rowOff>57150</xdr:rowOff>
        </xdr:from>
        <xdr:to>
          <xdr:col>6</xdr:col>
          <xdr:colOff>2590800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実績入力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66675</xdr:rowOff>
        </xdr:from>
        <xdr:to>
          <xdr:col>6</xdr:col>
          <xdr:colOff>1085850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アウトライン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SA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ddBusinessDa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01">
    <outlinePr summaryBelow="0"/>
  </sheetPr>
  <dimension ref="A1:EG124"/>
  <sheetViews>
    <sheetView tabSelected="1" workbookViewId="0">
      <pane xSplit="15" ySplit="5" topLeftCell="P6" activePane="bottomRight" state="frozen"/>
      <selection pane="topRight" activeCell="N1" sqref="N1"/>
      <selection pane="bottomLeft" activeCell="A6" sqref="A6"/>
      <selection pane="bottomRight" activeCell="O30" sqref="O30"/>
    </sheetView>
  </sheetViews>
  <sheetFormatPr defaultRowHeight="13.5" outlineLevelRow="4" x14ac:dyDescent="0.15"/>
  <cols>
    <col min="1" max="1" width="3.75" style="28" customWidth="1"/>
    <col min="2" max="2" width="7.5" style="28" customWidth="1"/>
    <col min="3" max="3" width="3.5" style="29" customWidth="1"/>
    <col min="4" max="6" width="3.5" style="30" customWidth="1"/>
    <col min="7" max="7" width="36.5" style="31" customWidth="1"/>
    <col min="8" max="9" width="4.75" style="28" customWidth="1"/>
    <col min="10" max="10" width="9" style="38" customWidth="1"/>
    <col min="11" max="11" width="9" style="39"/>
    <col min="12" max="12" width="4.75" style="32" customWidth="1"/>
    <col min="13" max="13" width="9" style="38" customWidth="1"/>
    <col min="14" max="14" width="9" style="38"/>
    <col min="15" max="15" width="9" style="28"/>
    <col min="16" max="16" width="2.875" style="50" customWidth="1"/>
    <col min="17" max="136" width="2.875" style="51" customWidth="1"/>
    <col min="137" max="137" width="2.875" style="53" customWidth="1"/>
    <col min="138" max="16384" width="9" style="54"/>
  </cols>
  <sheetData>
    <row r="1" spans="1:137" s="9" customFormat="1" ht="27" customHeight="1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 s="8">
        <f>設定!A2</f>
        <v>43291</v>
      </c>
      <c r="Q1" s="8">
        <f>P1+1</f>
        <v>43292</v>
      </c>
      <c r="R1" s="8">
        <f t="shared" ref="R1:BC1" si="0">Q1+1</f>
        <v>43293</v>
      </c>
      <c r="S1" s="8">
        <f t="shared" si="0"/>
        <v>43294</v>
      </c>
      <c r="T1" s="8">
        <f t="shared" si="0"/>
        <v>43295</v>
      </c>
      <c r="U1" s="8">
        <f t="shared" si="0"/>
        <v>43296</v>
      </c>
      <c r="V1" s="8">
        <f t="shared" si="0"/>
        <v>43297</v>
      </c>
      <c r="W1" s="8">
        <f t="shared" si="0"/>
        <v>43298</v>
      </c>
      <c r="X1" s="8">
        <f t="shared" si="0"/>
        <v>43299</v>
      </c>
      <c r="Y1" s="8">
        <f t="shared" si="0"/>
        <v>43300</v>
      </c>
      <c r="Z1" s="8">
        <f t="shared" si="0"/>
        <v>43301</v>
      </c>
      <c r="AA1" s="8">
        <f t="shared" si="0"/>
        <v>43302</v>
      </c>
      <c r="AB1" s="8">
        <f t="shared" si="0"/>
        <v>43303</v>
      </c>
      <c r="AC1" s="8">
        <f t="shared" si="0"/>
        <v>43304</v>
      </c>
      <c r="AD1" s="8">
        <f t="shared" si="0"/>
        <v>43305</v>
      </c>
      <c r="AE1" s="8">
        <f t="shared" si="0"/>
        <v>43306</v>
      </c>
      <c r="AF1" s="8">
        <f t="shared" si="0"/>
        <v>43307</v>
      </c>
      <c r="AG1" s="8">
        <f t="shared" si="0"/>
        <v>43308</v>
      </c>
      <c r="AH1" s="8">
        <f t="shared" si="0"/>
        <v>43309</v>
      </c>
      <c r="AI1" s="8">
        <f t="shared" si="0"/>
        <v>43310</v>
      </c>
      <c r="AJ1" s="8">
        <f t="shared" si="0"/>
        <v>43311</v>
      </c>
      <c r="AK1" s="8">
        <f t="shared" si="0"/>
        <v>43312</v>
      </c>
      <c r="AL1" s="8">
        <f t="shared" si="0"/>
        <v>43313</v>
      </c>
      <c r="AM1" s="8">
        <f t="shared" si="0"/>
        <v>43314</v>
      </c>
      <c r="AN1" s="8">
        <f t="shared" si="0"/>
        <v>43315</v>
      </c>
      <c r="AO1" s="8">
        <f t="shared" si="0"/>
        <v>43316</v>
      </c>
      <c r="AP1" s="8">
        <f t="shared" si="0"/>
        <v>43317</v>
      </c>
      <c r="AQ1" s="8">
        <f t="shared" si="0"/>
        <v>43318</v>
      </c>
      <c r="AR1" s="8">
        <f t="shared" si="0"/>
        <v>43319</v>
      </c>
      <c r="AS1" s="8">
        <f t="shared" si="0"/>
        <v>43320</v>
      </c>
      <c r="AT1" s="8">
        <f t="shared" si="0"/>
        <v>43321</v>
      </c>
      <c r="AU1" s="8">
        <f t="shared" si="0"/>
        <v>43322</v>
      </c>
      <c r="AV1" s="8">
        <f t="shared" si="0"/>
        <v>43323</v>
      </c>
      <c r="AW1" s="8">
        <f t="shared" si="0"/>
        <v>43324</v>
      </c>
      <c r="AX1" s="8">
        <f t="shared" si="0"/>
        <v>43325</v>
      </c>
      <c r="AY1" s="8">
        <f t="shared" si="0"/>
        <v>43326</v>
      </c>
      <c r="AZ1" s="8">
        <f t="shared" si="0"/>
        <v>43327</v>
      </c>
      <c r="BA1" s="8">
        <f t="shared" si="0"/>
        <v>43328</v>
      </c>
      <c r="BB1" s="8">
        <f t="shared" si="0"/>
        <v>43329</v>
      </c>
      <c r="BC1" s="8">
        <f t="shared" si="0"/>
        <v>43330</v>
      </c>
      <c r="BD1" s="8">
        <f t="shared" ref="BD1" si="1">BC1+1</f>
        <v>43331</v>
      </c>
      <c r="BE1" s="8">
        <f t="shared" ref="BE1" si="2">BD1+1</f>
        <v>43332</v>
      </c>
      <c r="BF1" s="8">
        <f t="shared" ref="BF1" si="3">BE1+1</f>
        <v>43333</v>
      </c>
      <c r="BG1" s="8">
        <f t="shared" ref="BG1" si="4">BF1+1</f>
        <v>43334</v>
      </c>
      <c r="BH1" s="8">
        <f t="shared" ref="BH1" si="5">BG1+1</f>
        <v>43335</v>
      </c>
      <c r="BI1" s="8">
        <f t="shared" ref="BI1" si="6">BH1+1</f>
        <v>43336</v>
      </c>
      <c r="BJ1" s="8">
        <f t="shared" ref="BJ1" si="7">BI1+1</f>
        <v>43337</v>
      </c>
      <c r="BK1" s="8">
        <f t="shared" ref="BK1" si="8">BJ1+1</f>
        <v>43338</v>
      </c>
      <c r="BL1" s="8">
        <f t="shared" ref="BL1" si="9">BK1+1</f>
        <v>43339</v>
      </c>
      <c r="BM1" s="8">
        <f t="shared" ref="BM1" si="10">BL1+1</f>
        <v>43340</v>
      </c>
      <c r="BN1" s="8">
        <f t="shared" ref="BN1" si="11">BM1+1</f>
        <v>43341</v>
      </c>
      <c r="BO1" s="8">
        <f t="shared" ref="BO1" si="12">BN1+1</f>
        <v>43342</v>
      </c>
      <c r="BP1" s="8">
        <f t="shared" ref="BP1" si="13">BO1+1</f>
        <v>43343</v>
      </c>
      <c r="BQ1" s="8">
        <f t="shared" ref="BQ1" si="14">BP1+1</f>
        <v>43344</v>
      </c>
      <c r="BR1" s="8">
        <f t="shared" ref="BR1" si="15">BQ1+1</f>
        <v>43345</v>
      </c>
      <c r="BS1" s="8">
        <f t="shared" ref="BS1" si="16">BR1+1</f>
        <v>43346</v>
      </c>
      <c r="BT1" s="8">
        <f t="shared" ref="BT1" si="17">BS1+1</f>
        <v>43347</v>
      </c>
      <c r="BU1" s="8">
        <f t="shared" ref="BU1" si="18">BT1+1</f>
        <v>43348</v>
      </c>
      <c r="BV1" s="8">
        <f t="shared" ref="BV1" si="19">BU1+1</f>
        <v>43349</v>
      </c>
      <c r="BW1" s="8">
        <f t="shared" ref="BW1" si="20">BV1+1</f>
        <v>43350</v>
      </c>
      <c r="BX1" s="8">
        <f t="shared" ref="BX1" si="21">BW1+1</f>
        <v>43351</v>
      </c>
      <c r="BY1" s="8">
        <f t="shared" ref="BY1" si="22">BX1+1</f>
        <v>43352</v>
      </c>
      <c r="BZ1" s="8">
        <f t="shared" ref="BZ1" si="23">BY1+1</f>
        <v>43353</v>
      </c>
      <c r="CA1" s="8">
        <f t="shared" ref="CA1" si="24">BZ1+1</f>
        <v>43354</v>
      </c>
      <c r="CB1" s="8">
        <f t="shared" ref="CB1" si="25">CA1+1</f>
        <v>43355</v>
      </c>
      <c r="CC1" s="8">
        <f t="shared" ref="CC1" si="26">CB1+1</f>
        <v>43356</v>
      </c>
      <c r="CD1" s="8">
        <f t="shared" ref="CD1" si="27">CC1+1</f>
        <v>43357</v>
      </c>
      <c r="CE1" s="8">
        <f t="shared" ref="CE1" si="28">CD1+1</f>
        <v>43358</v>
      </c>
      <c r="CF1" s="8">
        <f t="shared" ref="CF1" si="29">CE1+1</f>
        <v>43359</v>
      </c>
      <c r="CG1" s="8">
        <f t="shared" ref="CG1" si="30">CF1+1</f>
        <v>43360</v>
      </c>
      <c r="CH1" s="8">
        <f t="shared" ref="CH1" si="31">CG1+1</f>
        <v>43361</v>
      </c>
      <c r="CI1" s="8">
        <f t="shared" ref="CI1" si="32">CH1+1</f>
        <v>43362</v>
      </c>
      <c r="CJ1" s="8">
        <f t="shared" ref="CJ1" si="33">CI1+1</f>
        <v>43363</v>
      </c>
      <c r="CK1" s="8">
        <f t="shared" ref="CK1" si="34">CJ1+1</f>
        <v>43364</v>
      </c>
      <c r="CL1" s="8">
        <f t="shared" ref="CL1" si="35">CK1+1</f>
        <v>43365</v>
      </c>
      <c r="CM1" s="8">
        <f t="shared" ref="CM1" si="36">CL1+1</f>
        <v>43366</v>
      </c>
      <c r="CN1" s="8">
        <f t="shared" ref="CN1" si="37">CM1+1</f>
        <v>43367</v>
      </c>
      <c r="CO1" s="8">
        <f t="shared" ref="CO1" si="38">CN1+1</f>
        <v>43368</v>
      </c>
      <c r="CP1" s="8">
        <f t="shared" ref="CP1" si="39">CO1+1</f>
        <v>43369</v>
      </c>
      <c r="CQ1" s="8">
        <f t="shared" ref="CQ1" si="40">CP1+1</f>
        <v>43370</v>
      </c>
      <c r="CR1" s="8">
        <f t="shared" ref="CR1" si="41">CQ1+1</f>
        <v>43371</v>
      </c>
      <c r="CS1" s="8">
        <f t="shared" ref="CS1" si="42">CR1+1</f>
        <v>43372</v>
      </c>
      <c r="CT1" s="8">
        <f t="shared" ref="CT1" si="43">CS1+1</f>
        <v>43373</v>
      </c>
      <c r="CU1" s="8">
        <f t="shared" ref="CU1" si="44">CT1+1</f>
        <v>43374</v>
      </c>
      <c r="CV1" s="8">
        <f t="shared" ref="CV1" si="45">CU1+1</f>
        <v>43375</v>
      </c>
      <c r="CW1" s="8">
        <f t="shared" ref="CW1" si="46">CV1+1</f>
        <v>43376</v>
      </c>
      <c r="CX1" s="8">
        <f t="shared" ref="CX1" si="47">CW1+1</f>
        <v>43377</v>
      </c>
      <c r="CY1" s="8">
        <f t="shared" ref="CY1" si="48">CX1+1</f>
        <v>43378</v>
      </c>
      <c r="CZ1" s="8">
        <f t="shared" ref="CZ1" si="49">CY1+1</f>
        <v>43379</v>
      </c>
      <c r="DA1" s="8">
        <f t="shared" ref="DA1" si="50">CZ1+1</f>
        <v>43380</v>
      </c>
      <c r="DB1" s="8">
        <f t="shared" ref="DB1" si="51">DA1+1</f>
        <v>43381</v>
      </c>
      <c r="DC1" s="8">
        <f t="shared" ref="DC1" si="52">DB1+1</f>
        <v>43382</v>
      </c>
      <c r="DD1" s="8">
        <f t="shared" ref="DD1" si="53">DC1+1</f>
        <v>43383</v>
      </c>
      <c r="DE1" s="8">
        <f t="shared" ref="DE1" si="54">DD1+1</f>
        <v>43384</v>
      </c>
      <c r="DF1" s="8">
        <f t="shared" ref="DF1" si="55">DE1+1</f>
        <v>43385</v>
      </c>
      <c r="DG1" s="8">
        <f t="shared" ref="DG1" si="56">DF1+1</f>
        <v>43386</v>
      </c>
      <c r="DH1" s="8">
        <f t="shared" ref="DH1" si="57">DG1+1</f>
        <v>43387</v>
      </c>
      <c r="DI1" s="8">
        <f t="shared" ref="DI1" si="58">DH1+1</f>
        <v>43388</v>
      </c>
      <c r="DJ1" s="8">
        <f t="shared" ref="DJ1" si="59">DI1+1</f>
        <v>43389</v>
      </c>
      <c r="DK1" s="8">
        <f t="shared" ref="DK1" si="60">DJ1+1</f>
        <v>43390</v>
      </c>
      <c r="DL1" s="8">
        <f t="shared" ref="DL1" si="61">DK1+1</f>
        <v>43391</v>
      </c>
      <c r="DM1" s="8">
        <f t="shared" ref="DM1" si="62">DL1+1</f>
        <v>43392</v>
      </c>
      <c r="DN1" s="8">
        <f t="shared" ref="DN1" si="63">DM1+1</f>
        <v>43393</v>
      </c>
      <c r="DO1" s="8">
        <f t="shared" ref="DO1" si="64">DN1+1</f>
        <v>43394</v>
      </c>
      <c r="DP1" s="8">
        <f t="shared" ref="DP1" si="65">DO1+1</f>
        <v>43395</v>
      </c>
      <c r="DQ1" s="8">
        <f t="shared" ref="DQ1" si="66">DP1+1</f>
        <v>43396</v>
      </c>
      <c r="DR1" s="8">
        <f t="shared" ref="DR1" si="67">DQ1+1</f>
        <v>43397</v>
      </c>
      <c r="DS1" s="8">
        <f t="shared" ref="DS1" si="68">DR1+1</f>
        <v>43398</v>
      </c>
      <c r="DT1" s="8">
        <f t="shared" ref="DT1" si="69">DS1+1</f>
        <v>43399</v>
      </c>
      <c r="DU1" s="8">
        <f t="shared" ref="DU1" si="70">DT1+1</f>
        <v>43400</v>
      </c>
      <c r="DV1" s="8">
        <f t="shared" ref="DV1" si="71">DU1+1</f>
        <v>43401</v>
      </c>
      <c r="DW1" s="8">
        <f t="shared" ref="DW1" si="72">DV1+1</f>
        <v>43402</v>
      </c>
      <c r="DX1" s="8">
        <f t="shared" ref="DX1" si="73">DW1+1</f>
        <v>43403</v>
      </c>
      <c r="DY1" s="8">
        <f t="shared" ref="DY1" si="74">DX1+1</f>
        <v>43404</v>
      </c>
      <c r="DZ1" s="8">
        <f t="shared" ref="DZ1" si="75">DY1+1</f>
        <v>43405</v>
      </c>
      <c r="EA1" s="8">
        <f t="shared" ref="EA1" si="76">DZ1+1</f>
        <v>43406</v>
      </c>
      <c r="EB1" s="8">
        <f t="shared" ref="EB1" si="77">EA1+1</f>
        <v>43407</v>
      </c>
      <c r="EC1" s="8">
        <f t="shared" ref="EC1" si="78">EB1+1</f>
        <v>43408</v>
      </c>
      <c r="ED1" s="8">
        <f t="shared" ref="ED1" si="79">EC1+1</f>
        <v>43409</v>
      </c>
      <c r="EE1" s="8">
        <f t="shared" ref="EE1" si="80">ED1+1</f>
        <v>43410</v>
      </c>
      <c r="EF1" s="8">
        <f t="shared" ref="EF1" si="81">EE1+1</f>
        <v>43411</v>
      </c>
      <c r="EG1" s="8">
        <f t="shared" ref="EG1" si="82">EF1+1</f>
        <v>43412</v>
      </c>
    </row>
    <row r="2" spans="1:137" s="9" customFormat="1" x14ac:dyDescent="0.1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10" t="str">
        <f>IF(YEAR(P1)&lt;&gt;YEAR(O1),TEXT(P1,"yy"),"")</f>
        <v>18</v>
      </c>
      <c r="Q2" s="10" t="str">
        <f t="shared" ref="Q2:BC2" si="83">IF(YEAR(Q1)&lt;&gt;YEAR(P1),TEXT(Q1,"yy"),"")</f>
        <v/>
      </c>
      <c r="R2" s="10" t="str">
        <f t="shared" si="83"/>
        <v/>
      </c>
      <c r="S2" s="10" t="str">
        <f t="shared" si="83"/>
        <v/>
      </c>
      <c r="T2" s="10" t="str">
        <f t="shared" si="83"/>
        <v/>
      </c>
      <c r="U2" s="10" t="str">
        <f t="shared" si="83"/>
        <v/>
      </c>
      <c r="V2" s="10" t="str">
        <f t="shared" si="83"/>
        <v/>
      </c>
      <c r="W2" s="10" t="str">
        <f t="shared" si="83"/>
        <v/>
      </c>
      <c r="X2" s="10" t="str">
        <f t="shared" si="83"/>
        <v/>
      </c>
      <c r="Y2" s="10" t="str">
        <f t="shared" si="83"/>
        <v/>
      </c>
      <c r="Z2" s="10" t="str">
        <f t="shared" si="83"/>
        <v/>
      </c>
      <c r="AA2" s="10" t="str">
        <f t="shared" si="83"/>
        <v/>
      </c>
      <c r="AB2" s="10" t="str">
        <f t="shared" si="83"/>
        <v/>
      </c>
      <c r="AC2" s="10" t="str">
        <f t="shared" si="83"/>
        <v/>
      </c>
      <c r="AD2" s="10" t="str">
        <f t="shared" si="83"/>
        <v/>
      </c>
      <c r="AE2" s="10" t="str">
        <f t="shared" si="83"/>
        <v/>
      </c>
      <c r="AF2" s="10" t="str">
        <f t="shared" si="83"/>
        <v/>
      </c>
      <c r="AG2" s="10" t="str">
        <f t="shared" si="83"/>
        <v/>
      </c>
      <c r="AH2" s="10" t="str">
        <f t="shared" si="83"/>
        <v/>
      </c>
      <c r="AI2" s="10" t="str">
        <f t="shared" si="83"/>
        <v/>
      </c>
      <c r="AJ2" s="10" t="str">
        <f t="shared" si="83"/>
        <v/>
      </c>
      <c r="AK2" s="10" t="str">
        <f t="shared" si="83"/>
        <v/>
      </c>
      <c r="AL2" s="10" t="str">
        <f t="shared" si="83"/>
        <v/>
      </c>
      <c r="AM2" s="10" t="str">
        <f t="shared" si="83"/>
        <v/>
      </c>
      <c r="AN2" s="10" t="str">
        <f t="shared" si="83"/>
        <v/>
      </c>
      <c r="AO2" s="10" t="str">
        <f t="shared" si="83"/>
        <v/>
      </c>
      <c r="AP2" s="10" t="str">
        <f t="shared" si="83"/>
        <v/>
      </c>
      <c r="AQ2" s="10" t="str">
        <f t="shared" si="83"/>
        <v/>
      </c>
      <c r="AR2" s="10" t="str">
        <f t="shared" si="83"/>
        <v/>
      </c>
      <c r="AS2" s="10" t="str">
        <f t="shared" si="83"/>
        <v/>
      </c>
      <c r="AT2" s="10" t="str">
        <f t="shared" si="83"/>
        <v/>
      </c>
      <c r="AU2" s="10" t="str">
        <f t="shared" si="83"/>
        <v/>
      </c>
      <c r="AV2" s="10" t="str">
        <f t="shared" si="83"/>
        <v/>
      </c>
      <c r="AW2" s="10" t="str">
        <f t="shared" si="83"/>
        <v/>
      </c>
      <c r="AX2" s="10" t="str">
        <f t="shared" si="83"/>
        <v/>
      </c>
      <c r="AY2" s="10" t="str">
        <f t="shared" si="83"/>
        <v/>
      </c>
      <c r="AZ2" s="10" t="str">
        <f t="shared" si="83"/>
        <v/>
      </c>
      <c r="BA2" s="10" t="str">
        <f t="shared" si="83"/>
        <v/>
      </c>
      <c r="BB2" s="10" t="str">
        <f t="shared" si="83"/>
        <v/>
      </c>
      <c r="BC2" s="10" t="str">
        <f t="shared" si="83"/>
        <v/>
      </c>
      <c r="BD2" s="10" t="str">
        <f t="shared" ref="BD2" si="84">IF(YEAR(BD1)&lt;&gt;YEAR(BC1),TEXT(BD1,"yy"),"")</f>
        <v/>
      </c>
      <c r="BE2" s="10" t="str">
        <f t="shared" ref="BE2" si="85">IF(YEAR(BE1)&lt;&gt;YEAR(BD1),TEXT(BE1,"yy"),"")</f>
        <v/>
      </c>
      <c r="BF2" s="10" t="str">
        <f t="shared" ref="BF2" si="86">IF(YEAR(BF1)&lt;&gt;YEAR(BE1),TEXT(BF1,"yy"),"")</f>
        <v/>
      </c>
      <c r="BG2" s="10" t="str">
        <f t="shared" ref="BG2" si="87">IF(YEAR(BG1)&lt;&gt;YEAR(BF1),TEXT(BG1,"yy"),"")</f>
        <v/>
      </c>
      <c r="BH2" s="10" t="str">
        <f t="shared" ref="BH2" si="88">IF(YEAR(BH1)&lt;&gt;YEAR(BG1),TEXT(BH1,"yy"),"")</f>
        <v/>
      </c>
      <c r="BI2" s="10" t="str">
        <f t="shared" ref="BI2" si="89">IF(YEAR(BI1)&lt;&gt;YEAR(BH1),TEXT(BI1,"yy"),"")</f>
        <v/>
      </c>
      <c r="BJ2" s="10" t="str">
        <f t="shared" ref="BJ2" si="90">IF(YEAR(BJ1)&lt;&gt;YEAR(BI1),TEXT(BJ1,"yy"),"")</f>
        <v/>
      </c>
      <c r="BK2" s="10" t="str">
        <f t="shared" ref="BK2" si="91">IF(YEAR(BK1)&lt;&gt;YEAR(BJ1),TEXT(BK1,"yy"),"")</f>
        <v/>
      </c>
      <c r="BL2" s="10" t="str">
        <f t="shared" ref="BL2" si="92">IF(YEAR(BL1)&lt;&gt;YEAR(BK1),TEXT(BL1,"yy"),"")</f>
        <v/>
      </c>
      <c r="BM2" s="10" t="str">
        <f t="shared" ref="BM2" si="93">IF(YEAR(BM1)&lt;&gt;YEAR(BL1),TEXT(BM1,"yy"),"")</f>
        <v/>
      </c>
      <c r="BN2" s="10" t="str">
        <f t="shared" ref="BN2" si="94">IF(YEAR(BN1)&lt;&gt;YEAR(BM1),TEXT(BN1,"yy"),"")</f>
        <v/>
      </c>
      <c r="BO2" s="10" t="str">
        <f t="shared" ref="BO2" si="95">IF(YEAR(BO1)&lt;&gt;YEAR(BN1),TEXT(BO1,"yy"),"")</f>
        <v/>
      </c>
      <c r="BP2" s="10" t="str">
        <f t="shared" ref="BP2" si="96">IF(YEAR(BP1)&lt;&gt;YEAR(BO1),TEXT(BP1,"yy"),"")</f>
        <v/>
      </c>
      <c r="BQ2" s="10" t="str">
        <f t="shared" ref="BQ2" si="97">IF(YEAR(BQ1)&lt;&gt;YEAR(BP1),TEXT(BQ1,"yy"),"")</f>
        <v/>
      </c>
      <c r="BR2" s="10" t="str">
        <f t="shared" ref="BR2" si="98">IF(YEAR(BR1)&lt;&gt;YEAR(BQ1),TEXT(BR1,"yy"),"")</f>
        <v/>
      </c>
      <c r="BS2" s="10" t="str">
        <f t="shared" ref="BS2" si="99">IF(YEAR(BS1)&lt;&gt;YEAR(BR1),TEXT(BS1,"yy"),"")</f>
        <v/>
      </c>
      <c r="BT2" s="10" t="str">
        <f t="shared" ref="BT2" si="100">IF(YEAR(BT1)&lt;&gt;YEAR(BS1),TEXT(BT1,"yy"),"")</f>
        <v/>
      </c>
      <c r="BU2" s="10" t="str">
        <f t="shared" ref="BU2" si="101">IF(YEAR(BU1)&lt;&gt;YEAR(BT1),TEXT(BU1,"yy"),"")</f>
        <v/>
      </c>
      <c r="BV2" s="10" t="str">
        <f t="shared" ref="BV2" si="102">IF(YEAR(BV1)&lt;&gt;YEAR(BU1),TEXT(BV1,"yy"),"")</f>
        <v/>
      </c>
      <c r="BW2" s="10" t="str">
        <f t="shared" ref="BW2" si="103">IF(YEAR(BW1)&lt;&gt;YEAR(BV1),TEXT(BW1,"yy"),"")</f>
        <v/>
      </c>
      <c r="BX2" s="10" t="str">
        <f t="shared" ref="BX2" si="104">IF(YEAR(BX1)&lt;&gt;YEAR(BW1),TEXT(BX1,"yy"),"")</f>
        <v/>
      </c>
      <c r="BY2" s="10" t="str">
        <f t="shared" ref="BY2" si="105">IF(YEAR(BY1)&lt;&gt;YEAR(BX1),TEXT(BY1,"yy"),"")</f>
        <v/>
      </c>
      <c r="BZ2" s="10" t="str">
        <f t="shared" ref="BZ2" si="106">IF(YEAR(BZ1)&lt;&gt;YEAR(BY1),TEXT(BZ1,"yy"),"")</f>
        <v/>
      </c>
      <c r="CA2" s="10" t="str">
        <f t="shared" ref="CA2" si="107">IF(YEAR(CA1)&lt;&gt;YEAR(BZ1),TEXT(CA1,"yy"),"")</f>
        <v/>
      </c>
      <c r="CB2" s="10" t="str">
        <f t="shared" ref="CB2" si="108">IF(YEAR(CB1)&lt;&gt;YEAR(CA1),TEXT(CB1,"yy"),"")</f>
        <v/>
      </c>
      <c r="CC2" s="10" t="str">
        <f t="shared" ref="CC2" si="109">IF(YEAR(CC1)&lt;&gt;YEAR(CB1),TEXT(CC1,"yy"),"")</f>
        <v/>
      </c>
      <c r="CD2" s="10" t="str">
        <f t="shared" ref="CD2" si="110">IF(YEAR(CD1)&lt;&gt;YEAR(CC1),TEXT(CD1,"yy"),"")</f>
        <v/>
      </c>
      <c r="CE2" s="10" t="str">
        <f t="shared" ref="CE2" si="111">IF(YEAR(CE1)&lt;&gt;YEAR(CD1),TEXT(CE1,"yy"),"")</f>
        <v/>
      </c>
      <c r="CF2" s="10" t="str">
        <f t="shared" ref="CF2" si="112">IF(YEAR(CF1)&lt;&gt;YEAR(CE1),TEXT(CF1,"yy"),"")</f>
        <v/>
      </c>
      <c r="CG2" s="10" t="str">
        <f t="shared" ref="CG2" si="113">IF(YEAR(CG1)&lt;&gt;YEAR(CF1),TEXT(CG1,"yy"),"")</f>
        <v/>
      </c>
      <c r="CH2" s="10" t="str">
        <f t="shared" ref="CH2" si="114">IF(YEAR(CH1)&lt;&gt;YEAR(CG1),TEXT(CH1,"yy"),"")</f>
        <v/>
      </c>
      <c r="CI2" s="10" t="str">
        <f t="shared" ref="CI2" si="115">IF(YEAR(CI1)&lt;&gt;YEAR(CH1),TEXT(CI1,"yy"),"")</f>
        <v/>
      </c>
      <c r="CJ2" s="10" t="str">
        <f t="shared" ref="CJ2" si="116">IF(YEAR(CJ1)&lt;&gt;YEAR(CI1),TEXT(CJ1,"yy"),"")</f>
        <v/>
      </c>
      <c r="CK2" s="10" t="str">
        <f t="shared" ref="CK2" si="117">IF(YEAR(CK1)&lt;&gt;YEAR(CJ1),TEXT(CK1,"yy"),"")</f>
        <v/>
      </c>
      <c r="CL2" s="10" t="str">
        <f t="shared" ref="CL2" si="118">IF(YEAR(CL1)&lt;&gt;YEAR(CK1),TEXT(CL1,"yy"),"")</f>
        <v/>
      </c>
      <c r="CM2" s="10" t="str">
        <f t="shared" ref="CM2" si="119">IF(YEAR(CM1)&lt;&gt;YEAR(CL1),TEXT(CM1,"yy"),"")</f>
        <v/>
      </c>
      <c r="CN2" s="10" t="str">
        <f t="shared" ref="CN2" si="120">IF(YEAR(CN1)&lt;&gt;YEAR(CM1),TEXT(CN1,"yy"),"")</f>
        <v/>
      </c>
      <c r="CO2" s="10" t="str">
        <f t="shared" ref="CO2" si="121">IF(YEAR(CO1)&lt;&gt;YEAR(CN1),TEXT(CO1,"yy"),"")</f>
        <v/>
      </c>
      <c r="CP2" s="10" t="str">
        <f t="shared" ref="CP2" si="122">IF(YEAR(CP1)&lt;&gt;YEAR(CO1),TEXT(CP1,"yy"),"")</f>
        <v/>
      </c>
      <c r="CQ2" s="10" t="str">
        <f t="shared" ref="CQ2" si="123">IF(YEAR(CQ1)&lt;&gt;YEAR(CP1),TEXT(CQ1,"yy"),"")</f>
        <v/>
      </c>
      <c r="CR2" s="10" t="str">
        <f t="shared" ref="CR2" si="124">IF(YEAR(CR1)&lt;&gt;YEAR(CQ1),TEXT(CR1,"yy"),"")</f>
        <v/>
      </c>
      <c r="CS2" s="10" t="str">
        <f t="shared" ref="CS2" si="125">IF(YEAR(CS1)&lt;&gt;YEAR(CR1),TEXT(CS1,"yy"),"")</f>
        <v/>
      </c>
      <c r="CT2" s="10" t="str">
        <f t="shared" ref="CT2" si="126">IF(YEAR(CT1)&lt;&gt;YEAR(CS1),TEXT(CT1,"yy"),"")</f>
        <v/>
      </c>
      <c r="CU2" s="10" t="str">
        <f t="shared" ref="CU2" si="127">IF(YEAR(CU1)&lt;&gt;YEAR(CT1),TEXT(CU1,"yy"),"")</f>
        <v/>
      </c>
      <c r="CV2" s="10" t="str">
        <f t="shared" ref="CV2" si="128">IF(YEAR(CV1)&lt;&gt;YEAR(CU1),TEXT(CV1,"yy"),"")</f>
        <v/>
      </c>
      <c r="CW2" s="10" t="str">
        <f t="shared" ref="CW2" si="129">IF(YEAR(CW1)&lt;&gt;YEAR(CV1),TEXT(CW1,"yy"),"")</f>
        <v/>
      </c>
      <c r="CX2" s="10" t="str">
        <f t="shared" ref="CX2" si="130">IF(YEAR(CX1)&lt;&gt;YEAR(CW1),TEXT(CX1,"yy"),"")</f>
        <v/>
      </c>
      <c r="CY2" s="10" t="str">
        <f t="shared" ref="CY2" si="131">IF(YEAR(CY1)&lt;&gt;YEAR(CX1),TEXT(CY1,"yy"),"")</f>
        <v/>
      </c>
      <c r="CZ2" s="10" t="str">
        <f t="shared" ref="CZ2" si="132">IF(YEAR(CZ1)&lt;&gt;YEAR(CY1),TEXT(CZ1,"yy"),"")</f>
        <v/>
      </c>
      <c r="DA2" s="10" t="str">
        <f t="shared" ref="DA2" si="133">IF(YEAR(DA1)&lt;&gt;YEAR(CZ1),TEXT(DA1,"yy"),"")</f>
        <v/>
      </c>
      <c r="DB2" s="10" t="str">
        <f t="shared" ref="DB2" si="134">IF(YEAR(DB1)&lt;&gt;YEAR(DA1),TEXT(DB1,"yy"),"")</f>
        <v/>
      </c>
      <c r="DC2" s="10" t="str">
        <f t="shared" ref="DC2" si="135">IF(YEAR(DC1)&lt;&gt;YEAR(DB1),TEXT(DC1,"yy"),"")</f>
        <v/>
      </c>
      <c r="DD2" s="10" t="str">
        <f t="shared" ref="DD2" si="136">IF(YEAR(DD1)&lt;&gt;YEAR(DC1),TEXT(DD1,"yy"),"")</f>
        <v/>
      </c>
      <c r="DE2" s="10" t="str">
        <f t="shared" ref="DE2" si="137">IF(YEAR(DE1)&lt;&gt;YEAR(DD1),TEXT(DE1,"yy"),"")</f>
        <v/>
      </c>
      <c r="DF2" s="10" t="str">
        <f t="shared" ref="DF2" si="138">IF(YEAR(DF1)&lt;&gt;YEAR(DE1),TEXT(DF1,"yy"),"")</f>
        <v/>
      </c>
      <c r="DG2" s="10" t="str">
        <f t="shared" ref="DG2" si="139">IF(YEAR(DG1)&lt;&gt;YEAR(DF1),TEXT(DG1,"yy"),"")</f>
        <v/>
      </c>
      <c r="DH2" s="10" t="str">
        <f t="shared" ref="DH2" si="140">IF(YEAR(DH1)&lt;&gt;YEAR(DG1),TEXT(DH1,"yy"),"")</f>
        <v/>
      </c>
      <c r="DI2" s="10" t="str">
        <f t="shared" ref="DI2" si="141">IF(YEAR(DI1)&lt;&gt;YEAR(DH1),TEXT(DI1,"yy"),"")</f>
        <v/>
      </c>
      <c r="DJ2" s="10" t="str">
        <f t="shared" ref="DJ2" si="142">IF(YEAR(DJ1)&lt;&gt;YEAR(DI1),TEXT(DJ1,"yy"),"")</f>
        <v/>
      </c>
      <c r="DK2" s="10" t="str">
        <f t="shared" ref="DK2" si="143">IF(YEAR(DK1)&lt;&gt;YEAR(DJ1),TEXT(DK1,"yy"),"")</f>
        <v/>
      </c>
      <c r="DL2" s="10" t="str">
        <f t="shared" ref="DL2" si="144">IF(YEAR(DL1)&lt;&gt;YEAR(DK1),TEXT(DL1,"yy"),"")</f>
        <v/>
      </c>
      <c r="DM2" s="10" t="str">
        <f t="shared" ref="DM2" si="145">IF(YEAR(DM1)&lt;&gt;YEAR(DL1),TEXT(DM1,"yy"),"")</f>
        <v/>
      </c>
      <c r="DN2" s="10" t="str">
        <f t="shared" ref="DN2" si="146">IF(YEAR(DN1)&lt;&gt;YEAR(DM1),TEXT(DN1,"yy"),"")</f>
        <v/>
      </c>
      <c r="DO2" s="10" t="str">
        <f t="shared" ref="DO2" si="147">IF(YEAR(DO1)&lt;&gt;YEAR(DN1),TEXT(DO1,"yy"),"")</f>
        <v/>
      </c>
      <c r="DP2" s="10" t="str">
        <f t="shared" ref="DP2" si="148">IF(YEAR(DP1)&lt;&gt;YEAR(DO1),TEXT(DP1,"yy"),"")</f>
        <v/>
      </c>
      <c r="DQ2" s="10" t="str">
        <f t="shared" ref="DQ2" si="149">IF(YEAR(DQ1)&lt;&gt;YEAR(DP1),TEXT(DQ1,"yy"),"")</f>
        <v/>
      </c>
      <c r="DR2" s="10" t="str">
        <f t="shared" ref="DR2" si="150">IF(YEAR(DR1)&lt;&gt;YEAR(DQ1),TEXT(DR1,"yy"),"")</f>
        <v/>
      </c>
      <c r="DS2" s="10" t="str">
        <f t="shared" ref="DS2" si="151">IF(YEAR(DS1)&lt;&gt;YEAR(DR1),TEXT(DS1,"yy"),"")</f>
        <v/>
      </c>
      <c r="DT2" s="10" t="str">
        <f t="shared" ref="DT2" si="152">IF(YEAR(DT1)&lt;&gt;YEAR(DS1),TEXT(DT1,"yy"),"")</f>
        <v/>
      </c>
      <c r="DU2" s="10" t="str">
        <f t="shared" ref="DU2" si="153">IF(YEAR(DU1)&lt;&gt;YEAR(DT1),TEXT(DU1,"yy"),"")</f>
        <v/>
      </c>
      <c r="DV2" s="10" t="str">
        <f t="shared" ref="DV2" si="154">IF(YEAR(DV1)&lt;&gt;YEAR(DU1),TEXT(DV1,"yy"),"")</f>
        <v/>
      </c>
      <c r="DW2" s="10" t="str">
        <f t="shared" ref="DW2" si="155">IF(YEAR(DW1)&lt;&gt;YEAR(DV1),TEXT(DW1,"yy"),"")</f>
        <v/>
      </c>
      <c r="DX2" s="10" t="str">
        <f t="shared" ref="DX2" si="156">IF(YEAR(DX1)&lt;&gt;YEAR(DW1),TEXT(DX1,"yy"),"")</f>
        <v/>
      </c>
      <c r="DY2" s="10" t="str">
        <f t="shared" ref="DY2" si="157">IF(YEAR(DY1)&lt;&gt;YEAR(DX1),TEXT(DY1,"yy"),"")</f>
        <v/>
      </c>
      <c r="DZ2" s="10" t="str">
        <f t="shared" ref="DZ2" si="158">IF(YEAR(DZ1)&lt;&gt;YEAR(DY1),TEXT(DZ1,"yy"),"")</f>
        <v/>
      </c>
      <c r="EA2" s="10" t="str">
        <f t="shared" ref="EA2" si="159">IF(YEAR(EA1)&lt;&gt;YEAR(DZ1),TEXT(EA1,"yy"),"")</f>
        <v/>
      </c>
      <c r="EB2" s="10" t="str">
        <f t="shared" ref="EB2" si="160">IF(YEAR(EB1)&lt;&gt;YEAR(EA1),TEXT(EB1,"yy"),"")</f>
        <v/>
      </c>
      <c r="EC2" s="10" t="str">
        <f t="shared" ref="EC2" si="161">IF(YEAR(EC1)&lt;&gt;YEAR(EB1),TEXT(EC1,"yy"),"")</f>
        <v/>
      </c>
      <c r="ED2" s="10" t="str">
        <f t="shared" ref="ED2" si="162">IF(YEAR(ED1)&lt;&gt;YEAR(EC1),TEXT(ED1,"yy"),"")</f>
        <v/>
      </c>
      <c r="EE2" s="10" t="str">
        <f t="shared" ref="EE2" si="163">IF(YEAR(EE1)&lt;&gt;YEAR(ED1),TEXT(EE1,"yy"),"")</f>
        <v/>
      </c>
      <c r="EF2" s="10" t="str">
        <f t="shared" ref="EF2" si="164">IF(YEAR(EF1)&lt;&gt;YEAR(EE1),TEXT(EF1,"yy"),"")</f>
        <v/>
      </c>
      <c r="EG2" s="10" t="str">
        <f t="shared" ref="EG2" si="165">IF(YEAR(EG1)&lt;&gt;YEAR(EF1),TEXT(EG1,"yy"),"")</f>
        <v/>
      </c>
    </row>
    <row r="3" spans="1:137" s="9" customFormat="1" x14ac:dyDescent="0.1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 s="11" t="str">
        <f>IF(MONTH(P1)&lt;&gt;MONTH(O1),TEXT(P1,"m"),"")</f>
        <v>7</v>
      </c>
      <c r="Q3" s="11" t="str">
        <f t="shared" ref="Q3:BC3" si="166">IF(MONTH(Q1)&lt;&gt;MONTH(P1),TEXT(Q1,"m"),"")</f>
        <v/>
      </c>
      <c r="R3" s="11" t="str">
        <f t="shared" si="166"/>
        <v/>
      </c>
      <c r="S3" s="11" t="str">
        <f t="shared" si="166"/>
        <v/>
      </c>
      <c r="T3" s="11" t="str">
        <f t="shared" si="166"/>
        <v/>
      </c>
      <c r="U3" s="11" t="str">
        <f t="shared" si="166"/>
        <v/>
      </c>
      <c r="V3" s="11" t="str">
        <f t="shared" si="166"/>
        <v/>
      </c>
      <c r="W3" s="11" t="str">
        <f t="shared" si="166"/>
        <v/>
      </c>
      <c r="X3" s="11" t="str">
        <f t="shared" si="166"/>
        <v/>
      </c>
      <c r="Y3" s="11" t="str">
        <f t="shared" si="166"/>
        <v/>
      </c>
      <c r="Z3" s="11" t="str">
        <f t="shared" si="166"/>
        <v/>
      </c>
      <c r="AA3" s="11" t="str">
        <f t="shared" si="166"/>
        <v/>
      </c>
      <c r="AB3" s="11" t="str">
        <f t="shared" si="166"/>
        <v/>
      </c>
      <c r="AC3" s="11" t="str">
        <f t="shared" si="166"/>
        <v/>
      </c>
      <c r="AD3" s="11" t="str">
        <f t="shared" si="166"/>
        <v/>
      </c>
      <c r="AE3" s="11" t="str">
        <f t="shared" si="166"/>
        <v/>
      </c>
      <c r="AF3" s="11" t="str">
        <f t="shared" si="166"/>
        <v/>
      </c>
      <c r="AG3" s="11" t="str">
        <f t="shared" si="166"/>
        <v/>
      </c>
      <c r="AH3" s="11" t="str">
        <f t="shared" si="166"/>
        <v/>
      </c>
      <c r="AI3" s="11" t="str">
        <f t="shared" si="166"/>
        <v/>
      </c>
      <c r="AJ3" s="11" t="str">
        <f t="shared" si="166"/>
        <v/>
      </c>
      <c r="AK3" s="11" t="str">
        <f t="shared" si="166"/>
        <v/>
      </c>
      <c r="AL3" s="11" t="str">
        <f t="shared" si="166"/>
        <v>8</v>
      </c>
      <c r="AM3" s="11" t="str">
        <f t="shared" si="166"/>
        <v/>
      </c>
      <c r="AN3" s="11" t="str">
        <f t="shared" si="166"/>
        <v/>
      </c>
      <c r="AO3" s="11" t="str">
        <f t="shared" si="166"/>
        <v/>
      </c>
      <c r="AP3" s="11" t="str">
        <f t="shared" si="166"/>
        <v/>
      </c>
      <c r="AQ3" s="11" t="str">
        <f t="shared" si="166"/>
        <v/>
      </c>
      <c r="AR3" s="11" t="str">
        <f t="shared" si="166"/>
        <v/>
      </c>
      <c r="AS3" s="11" t="str">
        <f t="shared" si="166"/>
        <v/>
      </c>
      <c r="AT3" s="11" t="str">
        <f t="shared" si="166"/>
        <v/>
      </c>
      <c r="AU3" s="11" t="str">
        <f t="shared" si="166"/>
        <v/>
      </c>
      <c r="AV3" s="11" t="str">
        <f t="shared" si="166"/>
        <v/>
      </c>
      <c r="AW3" s="11" t="str">
        <f t="shared" si="166"/>
        <v/>
      </c>
      <c r="AX3" s="11" t="str">
        <f t="shared" si="166"/>
        <v/>
      </c>
      <c r="AY3" s="11" t="str">
        <f t="shared" si="166"/>
        <v/>
      </c>
      <c r="AZ3" s="11" t="str">
        <f t="shared" si="166"/>
        <v/>
      </c>
      <c r="BA3" s="11" t="str">
        <f t="shared" si="166"/>
        <v/>
      </c>
      <c r="BB3" s="11" t="str">
        <f t="shared" si="166"/>
        <v/>
      </c>
      <c r="BC3" s="11" t="str">
        <f t="shared" si="166"/>
        <v/>
      </c>
      <c r="BD3" s="11" t="str">
        <f t="shared" ref="BD3" si="167">IF(MONTH(BD1)&lt;&gt;MONTH(BC1),TEXT(BD1,"m"),"")</f>
        <v/>
      </c>
      <c r="BE3" s="11" t="str">
        <f t="shared" ref="BE3" si="168">IF(MONTH(BE1)&lt;&gt;MONTH(BD1),TEXT(BE1,"m"),"")</f>
        <v/>
      </c>
      <c r="BF3" s="11" t="str">
        <f t="shared" ref="BF3" si="169">IF(MONTH(BF1)&lt;&gt;MONTH(BE1),TEXT(BF1,"m"),"")</f>
        <v/>
      </c>
      <c r="BG3" s="11" t="str">
        <f t="shared" ref="BG3" si="170">IF(MONTH(BG1)&lt;&gt;MONTH(BF1),TEXT(BG1,"m"),"")</f>
        <v/>
      </c>
      <c r="BH3" s="11" t="str">
        <f t="shared" ref="BH3" si="171">IF(MONTH(BH1)&lt;&gt;MONTH(BG1),TEXT(BH1,"m"),"")</f>
        <v/>
      </c>
      <c r="BI3" s="11" t="str">
        <f t="shared" ref="BI3" si="172">IF(MONTH(BI1)&lt;&gt;MONTH(BH1),TEXT(BI1,"m"),"")</f>
        <v/>
      </c>
      <c r="BJ3" s="11" t="str">
        <f t="shared" ref="BJ3" si="173">IF(MONTH(BJ1)&lt;&gt;MONTH(BI1),TEXT(BJ1,"m"),"")</f>
        <v/>
      </c>
      <c r="BK3" s="11" t="str">
        <f t="shared" ref="BK3" si="174">IF(MONTH(BK1)&lt;&gt;MONTH(BJ1),TEXT(BK1,"m"),"")</f>
        <v/>
      </c>
      <c r="BL3" s="11" t="str">
        <f t="shared" ref="BL3" si="175">IF(MONTH(BL1)&lt;&gt;MONTH(BK1),TEXT(BL1,"m"),"")</f>
        <v/>
      </c>
      <c r="BM3" s="11" t="str">
        <f t="shared" ref="BM3" si="176">IF(MONTH(BM1)&lt;&gt;MONTH(BL1),TEXT(BM1,"m"),"")</f>
        <v/>
      </c>
      <c r="BN3" s="11" t="str">
        <f t="shared" ref="BN3" si="177">IF(MONTH(BN1)&lt;&gt;MONTH(BM1),TEXT(BN1,"m"),"")</f>
        <v/>
      </c>
      <c r="BO3" s="11" t="str">
        <f t="shared" ref="BO3" si="178">IF(MONTH(BO1)&lt;&gt;MONTH(BN1),TEXT(BO1,"m"),"")</f>
        <v/>
      </c>
      <c r="BP3" s="11" t="str">
        <f t="shared" ref="BP3" si="179">IF(MONTH(BP1)&lt;&gt;MONTH(BO1),TEXT(BP1,"m"),"")</f>
        <v/>
      </c>
      <c r="BQ3" s="11" t="str">
        <f t="shared" ref="BQ3" si="180">IF(MONTH(BQ1)&lt;&gt;MONTH(BP1),TEXT(BQ1,"m"),"")</f>
        <v>9</v>
      </c>
      <c r="BR3" s="11" t="str">
        <f t="shared" ref="BR3" si="181">IF(MONTH(BR1)&lt;&gt;MONTH(BQ1),TEXT(BR1,"m"),"")</f>
        <v/>
      </c>
      <c r="BS3" s="11" t="str">
        <f t="shared" ref="BS3" si="182">IF(MONTH(BS1)&lt;&gt;MONTH(BR1),TEXT(BS1,"m"),"")</f>
        <v/>
      </c>
      <c r="BT3" s="11" t="str">
        <f t="shared" ref="BT3" si="183">IF(MONTH(BT1)&lt;&gt;MONTH(BS1),TEXT(BT1,"m"),"")</f>
        <v/>
      </c>
      <c r="BU3" s="11" t="str">
        <f t="shared" ref="BU3" si="184">IF(MONTH(BU1)&lt;&gt;MONTH(BT1),TEXT(BU1,"m"),"")</f>
        <v/>
      </c>
      <c r="BV3" s="11" t="str">
        <f t="shared" ref="BV3" si="185">IF(MONTH(BV1)&lt;&gt;MONTH(BU1),TEXT(BV1,"m"),"")</f>
        <v/>
      </c>
      <c r="BW3" s="11" t="str">
        <f t="shared" ref="BW3" si="186">IF(MONTH(BW1)&lt;&gt;MONTH(BV1),TEXT(BW1,"m"),"")</f>
        <v/>
      </c>
      <c r="BX3" s="11" t="str">
        <f t="shared" ref="BX3" si="187">IF(MONTH(BX1)&lt;&gt;MONTH(BW1),TEXT(BX1,"m"),"")</f>
        <v/>
      </c>
      <c r="BY3" s="11" t="str">
        <f t="shared" ref="BY3" si="188">IF(MONTH(BY1)&lt;&gt;MONTH(BX1),TEXT(BY1,"m"),"")</f>
        <v/>
      </c>
      <c r="BZ3" s="11" t="str">
        <f t="shared" ref="BZ3" si="189">IF(MONTH(BZ1)&lt;&gt;MONTH(BY1),TEXT(BZ1,"m"),"")</f>
        <v/>
      </c>
      <c r="CA3" s="11" t="str">
        <f t="shared" ref="CA3" si="190">IF(MONTH(CA1)&lt;&gt;MONTH(BZ1),TEXT(CA1,"m"),"")</f>
        <v/>
      </c>
      <c r="CB3" s="11" t="str">
        <f t="shared" ref="CB3" si="191">IF(MONTH(CB1)&lt;&gt;MONTH(CA1),TEXT(CB1,"m"),"")</f>
        <v/>
      </c>
      <c r="CC3" s="11" t="str">
        <f t="shared" ref="CC3" si="192">IF(MONTH(CC1)&lt;&gt;MONTH(CB1),TEXT(CC1,"m"),"")</f>
        <v/>
      </c>
      <c r="CD3" s="11" t="str">
        <f t="shared" ref="CD3" si="193">IF(MONTH(CD1)&lt;&gt;MONTH(CC1),TEXT(CD1,"m"),"")</f>
        <v/>
      </c>
      <c r="CE3" s="11" t="str">
        <f t="shared" ref="CE3" si="194">IF(MONTH(CE1)&lt;&gt;MONTH(CD1),TEXT(CE1,"m"),"")</f>
        <v/>
      </c>
      <c r="CF3" s="11" t="str">
        <f t="shared" ref="CF3" si="195">IF(MONTH(CF1)&lt;&gt;MONTH(CE1),TEXT(CF1,"m"),"")</f>
        <v/>
      </c>
      <c r="CG3" s="11" t="str">
        <f t="shared" ref="CG3" si="196">IF(MONTH(CG1)&lt;&gt;MONTH(CF1),TEXT(CG1,"m"),"")</f>
        <v/>
      </c>
      <c r="CH3" s="11" t="str">
        <f t="shared" ref="CH3" si="197">IF(MONTH(CH1)&lt;&gt;MONTH(CG1),TEXT(CH1,"m"),"")</f>
        <v/>
      </c>
      <c r="CI3" s="11" t="str">
        <f t="shared" ref="CI3" si="198">IF(MONTH(CI1)&lt;&gt;MONTH(CH1),TEXT(CI1,"m"),"")</f>
        <v/>
      </c>
      <c r="CJ3" s="11" t="str">
        <f t="shared" ref="CJ3" si="199">IF(MONTH(CJ1)&lt;&gt;MONTH(CI1),TEXT(CJ1,"m"),"")</f>
        <v/>
      </c>
      <c r="CK3" s="11" t="str">
        <f t="shared" ref="CK3" si="200">IF(MONTH(CK1)&lt;&gt;MONTH(CJ1),TEXT(CK1,"m"),"")</f>
        <v/>
      </c>
      <c r="CL3" s="11" t="str">
        <f t="shared" ref="CL3" si="201">IF(MONTH(CL1)&lt;&gt;MONTH(CK1),TEXT(CL1,"m"),"")</f>
        <v/>
      </c>
      <c r="CM3" s="11" t="str">
        <f t="shared" ref="CM3" si="202">IF(MONTH(CM1)&lt;&gt;MONTH(CL1),TEXT(CM1,"m"),"")</f>
        <v/>
      </c>
      <c r="CN3" s="11" t="str">
        <f t="shared" ref="CN3" si="203">IF(MONTH(CN1)&lt;&gt;MONTH(CM1),TEXT(CN1,"m"),"")</f>
        <v/>
      </c>
      <c r="CO3" s="11" t="str">
        <f t="shared" ref="CO3" si="204">IF(MONTH(CO1)&lt;&gt;MONTH(CN1),TEXT(CO1,"m"),"")</f>
        <v/>
      </c>
      <c r="CP3" s="11" t="str">
        <f t="shared" ref="CP3" si="205">IF(MONTH(CP1)&lt;&gt;MONTH(CO1),TEXT(CP1,"m"),"")</f>
        <v/>
      </c>
      <c r="CQ3" s="11" t="str">
        <f t="shared" ref="CQ3" si="206">IF(MONTH(CQ1)&lt;&gt;MONTH(CP1),TEXT(CQ1,"m"),"")</f>
        <v/>
      </c>
      <c r="CR3" s="11" t="str">
        <f t="shared" ref="CR3" si="207">IF(MONTH(CR1)&lt;&gt;MONTH(CQ1),TEXT(CR1,"m"),"")</f>
        <v/>
      </c>
      <c r="CS3" s="11" t="str">
        <f t="shared" ref="CS3" si="208">IF(MONTH(CS1)&lt;&gt;MONTH(CR1),TEXT(CS1,"m"),"")</f>
        <v/>
      </c>
      <c r="CT3" s="11" t="str">
        <f t="shared" ref="CT3" si="209">IF(MONTH(CT1)&lt;&gt;MONTH(CS1),TEXT(CT1,"m"),"")</f>
        <v/>
      </c>
      <c r="CU3" s="11" t="str">
        <f t="shared" ref="CU3" si="210">IF(MONTH(CU1)&lt;&gt;MONTH(CT1),TEXT(CU1,"m"),"")</f>
        <v>10</v>
      </c>
      <c r="CV3" s="11" t="str">
        <f t="shared" ref="CV3" si="211">IF(MONTH(CV1)&lt;&gt;MONTH(CU1),TEXT(CV1,"m"),"")</f>
        <v/>
      </c>
      <c r="CW3" s="11" t="str">
        <f t="shared" ref="CW3" si="212">IF(MONTH(CW1)&lt;&gt;MONTH(CV1),TEXT(CW1,"m"),"")</f>
        <v/>
      </c>
      <c r="CX3" s="11" t="str">
        <f t="shared" ref="CX3" si="213">IF(MONTH(CX1)&lt;&gt;MONTH(CW1),TEXT(CX1,"m"),"")</f>
        <v/>
      </c>
      <c r="CY3" s="11" t="str">
        <f t="shared" ref="CY3" si="214">IF(MONTH(CY1)&lt;&gt;MONTH(CX1),TEXT(CY1,"m"),"")</f>
        <v/>
      </c>
      <c r="CZ3" s="11" t="str">
        <f t="shared" ref="CZ3" si="215">IF(MONTH(CZ1)&lt;&gt;MONTH(CY1),TEXT(CZ1,"m"),"")</f>
        <v/>
      </c>
      <c r="DA3" s="11" t="str">
        <f t="shared" ref="DA3" si="216">IF(MONTH(DA1)&lt;&gt;MONTH(CZ1),TEXT(DA1,"m"),"")</f>
        <v/>
      </c>
      <c r="DB3" s="11" t="str">
        <f t="shared" ref="DB3" si="217">IF(MONTH(DB1)&lt;&gt;MONTH(DA1),TEXT(DB1,"m"),"")</f>
        <v/>
      </c>
      <c r="DC3" s="11" t="str">
        <f t="shared" ref="DC3" si="218">IF(MONTH(DC1)&lt;&gt;MONTH(DB1),TEXT(DC1,"m"),"")</f>
        <v/>
      </c>
      <c r="DD3" s="11" t="str">
        <f t="shared" ref="DD3" si="219">IF(MONTH(DD1)&lt;&gt;MONTH(DC1),TEXT(DD1,"m"),"")</f>
        <v/>
      </c>
      <c r="DE3" s="11" t="str">
        <f t="shared" ref="DE3" si="220">IF(MONTH(DE1)&lt;&gt;MONTH(DD1),TEXT(DE1,"m"),"")</f>
        <v/>
      </c>
      <c r="DF3" s="11" t="str">
        <f t="shared" ref="DF3" si="221">IF(MONTH(DF1)&lt;&gt;MONTH(DE1),TEXT(DF1,"m"),"")</f>
        <v/>
      </c>
      <c r="DG3" s="11" t="str">
        <f t="shared" ref="DG3" si="222">IF(MONTH(DG1)&lt;&gt;MONTH(DF1),TEXT(DG1,"m"),"")</f>
        <v/>
      </c>
      <c r="DH3" s="11" t="str">
        <f t="shared" ref="DH3" si="223">IF(MONTH(DH1)&lt;&gt;MONTH(DG1),TEXT(DH1,"m"),"")</f>
        <v/>
      </c>
      <c r="DI3" s="11" t="str">
        <f t="shared" ref="DI3" si="224">IF(MONTH(DI1)&lt;&gt;MONTH(DH1),TEXT(DI1,"m"),"")</f>
        <v/>
      </c>
      <c r="DJ3" s="11" t="str">
        <f t="shared" ref="DJ3" si="225">IF(MONTH(DJ1)&lt;&gt;MONTH(DI1),TEXT(DJ1,"m"),"")</f>
        <v/>
      </c>
      <c r="DK3" s="11" t="str">
        <f t="shared" ref="DK3" si="226">IF(MONTH(DK1)&lt;&gt;MONTH(DJ1),TEXT(DK1,"m"),"")</f>
        <v/>
      </c>
      <c r="DL3" s="11" t="str">
        <f t="shared" ref="DL3" si="227">IF(MONTH(DL1)&lt;&gt;MONTH(DK1),TEXT(DL1,"m"),"")</f>
        <v/>
      </c>
      <c r="DM3" s="11" t="str">
        <f t="shared" ref="DM3" si="228">IF(MONTH(DM1)&lt;&gt;MONTH(DL1),TEXT(DM1,"m"),"")</f>
        <v/>
      </c>
      <c r="DN3" s="11" t="str">
        <f t="shared" ref="DN3" si="229">IF(MONTH(DN1)&lt;&gt;MONTH(DM1),TEXT(DN1,"m"),"")</f>
        <v/>
      </c>
      <c r="DO3" s="11" t="str">
        <f t="shared" ref="DO3" si="230">IF(MONTH(DO1)&lt;&gt;MONTH(DN1),TEXT(DO1,"m"),"")</f>
        <v/>
      </c>
      <c r="DP3" s="11" t="str">
        <f t="shared" ref="DP3" si="231">IF(MONTH(DP1)&lt;&gt;MONTH(DO1),TEXT(DP1,"m"),"")</f>
        <v/>
      </c>
      <c r="DQ3" s="11" t="str">
        <f t="shared" ref="DQ3" si="232">IF(MONTH(DQ1)&lt;&gt;MONTH(DP1),TEXT(DQ1,"m"),"")</f>
        <v/>
      </c>
      <c r="DR3" s="11" t="str">
        <f t="shared" ref="DR3" si="233">IF(MONTH(DR1)&lt;&gt;MONTH(DQ1),TEXT(DR1,"m"),"")</f>
        <v/>
      </c>
      <c r="DS3" s="11" t="str">
        <f t="shared" ref="DS3" si="234">IF(MONTH(DS1)&lt;&gt;MONTH(DR1),TEXT(DS1,"m"),"")</f>
        <v/>
      </c>
      <c r="DT3" s="11" t="str">
        <f t="shared" ref="DT3" si="235">IF(MONTH(DT1)&lt;&gt;MONTH(DS1),TEXT(DT1,"m"),"")</f>
        <v/>
      </c>
      <c r="DU3" s="11" t="str">
        <f t="shared" ref="DU3" si="236">IF(MONTH(DU1)&lt;&gt;MONTH(DT1),TEXT(DU1,"m"),"")</f>
        <v/>
      </c>
      <c r="DV3" s="11" t="str">
        <f t="shared" ref="DV3" si="237">IF(MONTH(DV1)&lt;&gt;MONTH(DU1),TEXT(DV1,"m"),"")</f>
        <v/>
      </c>
      <c r="DW3" s="11" t="str">
        <f t="shared" ref="DW3" si="238">IF(MONTH(DW1)&lt;&gt;MONTH(DV1),TEXT(DW1,"m"),"")</f>
        <v/>
      </c>
      <c r="DX3" s="11" t="str">
        <f t="shared" ref="DX3" si="239">IF(MONTH(DX1)&lt;&gt;MONTH(DW1),TEXT(DX1,"m"),"")</f>
        <v/>
      </c>
      <c r="DY3" s="11" t="str">
        <f t="shared" ref="DY3" si="240">IF(MONTH(DY1)&lt;&gt;MONTH(DX1),TEXT(DY1,"m"),"")</f>
        <v/>
      </c>
      <c r="DZ3" s="11" t="str">
        <f t="shared" ref="DZ3" si="241">IF(MONTH(DZ1)&lt;&gt;MONTH(DY1),TEXT(DZ1,"m"),"")</f>
        <v>11</v>
      </c>
      <c r="EA3" s="11" t="str">
        <f t="shared" ref="EA3" si="242">IF(MONTH(EA1)&lt;&gt;MONTH(DZ1),TEXT(EA1,"m"),"")</f>
        <v/>
      </c>
      <c r="EB3" s="11" t="str">
        <f t="shared" ref="EB3" si="243">IF(MONTH(EB1)&lt;&gt;MONTH(EA1),TEXT(EB1,"m"),"")</f>
        <v/>
      </c>
      <c r="EC3" s="11" t="str">
        <f t="shared" ref="EC3" si="244">IF(MONTH(EC1)&lt;&gt;MONTH(EB1),TEXT(EC1,"m"),"")</f>
        <v/>
      </c>
      <c r="ED3" s="11" t="str">
        <f t="shared" ref="ED3" si="245">IF(MONTH(ED1)&lt;&gt;MONTH(EC1),TEXT(ED1,"m"),"")</f>
        <v/>
      </c>
      <c r="EE3" s="11" t="str">
        <f t="shared" ref="EE3" si="246">IF(MONTH(EE1)&lt;&gt;MONTH(ED1),TEXT(EE1,"m"),"")</f>
        <v/>
      </c>
      <c r="EF3" s="11" t="str">
        <f t="shared" ref="EF3" si="247">IF(MONTH(EF1)&lt;&gt;MONTH(EE1),TEXT(EF1,"m"),"")</f>
        <v/>
      </c>
      <c r="EG3" s="11" t="str">
        <f t="shared" ref="EG3" si="248">IF(MONTH(EG1)&lt;&gt;MONTH(EF1),TEXT(EG1,"m"),"")</f>
        <v/>
      </c>
    </row>
    <row r="4" spans="1:137" s="16" customFormat="1" x14ac:dyDescent="0.15">
      <c r="A4" s="63" t="s">
        <v>10</v>
      </c>
      <c r="B4" s="63"/>
      <c r="C4" s="63"/>
      <c r="D4" s="63"/>
      <c r="E4" s="63"/>
      <c r="F4" s="63"/>
      <c r="G4" s="63"/>
      <c r="H4" s="63" t="s">
        <v>2</v>
      </c>
      <c r="I4" s="63"/>
      <c r="J4" s="63"/>
      <c r="K4" s="63"/>
      <c r="L4" s="64" t="s">
        <v>6</v>
      </c>
      <c r="M4" s="64"/>
      <c r="N4" s="64"/>
      <c r="O4" s="35" t="s">
        <v>9</v>
      </c>
      <c r="P4" s="13">
        <f>DAY(P1)</f>
        <v>10</v>
      </c>
      <c r="Q4" s="14">
        <f t="shared" ref="Q4:BC4" si="249">DAY(Q1)</f>
        <v>11</v>
      </c>
      <c r="R4" s="14">
        <f t="shared" si="249"/>
        <v>12</v>
      </c>
      <c r="S4" s="14">
        <f t="shared" si="249"/>
        <v>13</v>
      </c>
      <c r="T4" s="14">
        <f t="shared" si="249"/>
        <v>14</v>
      </c>
      <c r="U4" s="14">
        <f t="shared" si="249"/>
        <v>15</v>
      </c>
      <c r="V4" s="14">
        <f t="shared" si="249"/>
        <v>16</v>
      </c>
      <c r="W4" s="14">
        <f t="shared" si="249"/>
        <v>17</v>
      </c>
      <c r="X4" s="14">
        <f t="shared" si="249"/>
        <v>18</v>
      </c>
      <c r="Y4" s="14">
        <f t="shared" si="249"/>
        <v>19</v>
      </c>
      <c r="Z4" s="14">
        <f t="shared" si="249"/>
        <v>20</v>
      </c>
      <c r="AA4" s="14">
        <f t="shared" si="249"/>
        <v>21</v>
      </c>
      <c r="AB4" s="14">
        <f t="shared" si="249"/>
        <v>22</v>
      </c>
      <c r="AC4" s="14">
        <f t="shared" si="249"/>
        <v>23</v>
      </c>
      <c r="AD4" s="14">
        <f t="shared" si="249"/>
        <v>24</v>
      </c>
      <c r="AE4" s="14">
        <f t="shared" si="249"/>
        <v>25</v>
      </c>
      <c r="AF4" s="14">
        <f t="shared" si="249"/>
        <v>26</v>
      </c>
      <c r="AG4" s="14">
        <f t="shared" si="249"/>
        <v>27</v>
      </c>
      <c r="AH4" s="14">
        <f t="shared" si="249"/>
        <v>28</v>
      </c>
      <c r="AI4" s="14">
        <f t="shared" si="249"/>
        <v>29</v>
      </c>
      <c r="AJ4" s="14">
        <f t="shared" si="249"/>
        <v>30</v>
      </c>
      <c r="AK4" s="14">
        <f t="shared" si="249"/>
        <v>31</v>
      </c>
      <c r="AL4" s="14">
        <f t="shared" si="249"/>
        <v>1</v>
      </c>
      <c r="AM4" s="14">
        <f t="shared" si="249"/>
        <v>2</v>
      </c>
      <c r="AN4" s="14">
        <f t="shared" si="249"/>
        <v>3</v>
      </c>
      <c r="AO4" s="14">
        <f t="shared" si="249"/>
        <v>4</v>
      </c>
      <c r="AP4" s="14">
        <f t="shared" si="249"/>
        <v>5</v>
      </c>
      <c r="AQ4" s="14">
        <f t="shared" si="249"/>
        <v>6</v>
      </c>
      <c r="AR4" s="14">
        <f t="shared" si="249"/>
        <v>7</v>
      </c>
      <c r="AS4" s="14">
        <f t="shared" si="249"/>
        <v>8</v>
      </c>
      <c r="AT4" s="14">
        <f t="shared" si="249"/>
        <v>9</v>
      </c>
      <c r="AU4" s="14">
        <f t="shared" si="249"/>
        <v>10</v>
      </c>
      <c r="AV4" s="14">
        <f t="shared" si="249"/>
        <v>11</v>
      </c>
      <c r="AW4" s="14">
        <f t="shared" si="249"/>
        <v>12</v>
      </c>
      <c r="AX4" s="14">
        <f t="shared" si="249"/>
        <v>13</v>
      </c>
      <c r="AY4" s="14">
        <f t="shared" si="249"/>
        <v>14</v>
      </c>
      <c r="AZ4" s="14">
        <f t="shared" si="249"/>
        <v>15</v>
      </c>
      <c r="BA4" s="14">
        <f t="shared" si="249"/>
        <v>16</v>
      </c>
      <c r="BB4" s="14">
        <f t="shared" si="249"/>
        <v>17</v>
      </c>
      <c r="BC4" s="14">
        <f t="shared" si="249"/>
        <v>18</v>
      </c>
      <c r="BD4" s="14">
        <f t="shared" ref="BD4:DO4" si="250">DAY(BD1)</f>
        <v>19</v>
      </c>
      <c r="BE4" s="14">
        <f t="shared" si="250"/>
        <v>20</v>
      </c>
      <c r="BF4" s="14">
        <f t="shared" si="250"/>
        <v>21</v>
      </c>
      <c r="BG4" s="14">
        <f t="shared" si="250"/>
        <v>22</v>
      </c>
      <c r="BH4" s="14">
        <f t="shared" si="250"/>
        <v>23</v>
      </c>
      <c r="BI4" s="14">
        <f t="shared" si="250"/>
        <v>24</v>
      </c>
      <c r="BJ4" s="14">
        <f t="shared" si="250"/>
        <v>25</v>
      </c>
      <c r="BK4" s="14">
        <f t="shared" si="250"/>
        <v>26</v>
      </c>
      <c r="BL4" s="14">
        <f t="shared" si="250"/>
        <v>27</v>
      </c>
      <c r="BM4" s="14">
        <f t="shared" si="250"/>
        <v>28</v>
      </c>
      <c r="BN4" s="14">
        <f t="shared" si="250"/>
        <v>29</v>
      </c>
      <c r="BO4" s="14">
        <f t="shared" si="250"/>
        <v>30</v>
      </c>
      <c r="BP4" s="14">
        <f t="shared" si="250"/>
        <v>31</v>
      </c>
      <c r="BQ4" s="14">
        <f t="shared" si="250"/>
        <v>1</v>
      </c>
      <c r="BR4" s="14">
        <f t="shared" si="250"/>
        <v>2</v>
      </c>
      <c r="BS4" s="14">
        <f t="shared" si="250"/>
        <v>3</v>
      </c>
      <c r="BT4" s="14">
        <f t="shared" si="250"/>
        <v>4</v>
      </c>
      <c r="BU4" s="14">
        <f t="shared" si="250"/>
        <v>5</v>
      </c>
      <c r="BV4" s="14">
        <f t="shared" si="250"/>
        <v>6</v>
      </c>
      <c r="BW4" s="14">
        <f t="shared" si="250"/>
        <v>7</v>
      </c>
      <c r="BX4" s="14">
        <f t="shared" si="250"/>
        <v>8</v>
      </c>
      <c r="BY4" s="14">
        <f t="shared" si="250"/>
        <v>9</v>
      </c>
      <c r="BZ4" s="14">
        <f t="shared" si="250"/>
        <v>10</v>
      </c>
      <c r="CA4" s="14">
        <f t="shared" si="250"/>
        <v>11</v>
      </c>
      <c r="CB4" s="14">
        <f t="shared" si="250"/>
        <v>12</v>
      </c>
      <c r="CC4" s="14">
        <f t="shared" si="250"/>
        <v>13</v>
      </c>
      <c r="CD4" s="14">
        <f t="shared" si="250"/>
        <v>14</v>
      </c>
      <c r="CE4" s="14">
        <f t="shared" si="250"/>
        <v>15</v>
      </c>
      <c r="CF4" s="14">
        <f t="shared" si="250"/>
        <v>16</v>
      </c>
      <c r="CG4" s="14">
        <f t="shared" si="250"/>
        <v>17</v>
      </c>
      <c r="CH4" s="14">
        <f t="shared" si="250"/>
        <v>18</v>
      </c>
      <c r="CI4" s="14">
        <f t="shared" si="250"/>
        <v>19</v>
      </c>
      <c r="CJ4" s="14">
        <f t="shared" si="250"/>
        <v>20</v>
      </c>
      <c r="CK4" s="14">
        <f t="shared" si="250"/>
        <v>21</v>
      </c>
      <c r="CL4" s="14">
        <f t="shared" si="250"/>
        <v>22</v>
      </c>
      <c r="CM4" s="14">
        <f t="shared" si="250"/>
        <v>23</v>
      </c>
      <c r="CN4" s="14">
        <f t="shared" si="250"/>
        <v>24</v>
      </c>
      <c r="CO4" s="14">
        <f t="shared" si="250"/>
        <v>25</v>
      </c>
      <c r="CP4" s="14">
        <f t="shared" si="250"/>
        <v>26</v>
      </c>
      <c r="CQ4" s="14">
        <f t="shared" si="250"/>
        <v>27</v>
      </c>
      <c r="CR4" s="14">
        <f t="shared" si="250"/>
        <v>28</v>
      </c>
      <c r="CS4" s="14">
        <f t="shared" si="250"/>
        <v>29</v>
      </c>
      <c r="CT4" s="14">
        <f t="shared" si="250"/>
        <v>30</v>
      </c>
      <c r="CU4" s="14">
        <f t="shared" si="250"/>
        <v>1</v>
      </c>
      <c r="CV4" s="14">
        <f t="shared" si="250"/>
        <v>2</v>
      </c>
      <c r="CW4" s="14">
        <f t="shared" si="250"/>
        <v>3</v>
      </c>
      <c r="CX4" s="14">
        <f t="shared" si="250"/>
        <v>4</v>
      </c>
      <c r="CY4" s="14">
        <f t="shared" si="250"/>
        <v>5</v>
      </c>
      <c r="CZ4" s="14">
        <f t="shared" si="250"/>
        <v>6</v>
      </c>
      <c r="DA4" s="14">
        <f t="shared" si="250"/>
        <v>7</v>
      </c>
      <c r="DB4" s="14">
        <f t="shared" si="250"/>
        <v>8</v>
      </c>
      <c r="DC4" s="14">
        <f t="shared" si="250"/>
        <v>9</v>
      </c>
      <c r="DD4" s="14">
        <f t="shared" si="250"/>
        <v>10</v>
      </c>
      <c r="DE4" s="14">
        <f t="shared" si="250"/>
        <v>11</v>
      </c>
      <c r="DF4" s="14">
        <f t="shared" si="250"/>
        <v>12</v>
      </c>
      <c r="DG4" s="14">
        <f t="shared" si="250"/>
        <v>13</v>
      </c>
      <c r="DH4" s="14">
        <f t="shared" si="250"/>
        <v>14</v>
      </c>
      <c r="DI4" s="14">
        <f t="shared" si="250"/>
        <v>15</v>
      </c>
      <c r="DJ4" s="14">
        <f t="shared" si="250"/>
        <v>16</v>
      </c>
      <c r="DK4" s="14">
        <f t="shared" si="250"/>
        <v>17</v>
      </c>
      <c r="DL4" s="14">
        <f t="shared" si="250"/>
        <v>18</v>
      </c>
      <c r="DM4" s="14">
        <f t="shared" si="250"/>
        <v>19</v>
      </c>
      <c r="DN4" s="14">
        <f t="shared" si="250"/>
        <v>20</v>
      </c>
      <c r="DO4" s="14">
        <f t="shared" si="250"/>
        <v>21</v>
      </c>
      <c r="DP4" s="14">
        <f t="shared" ref="DP4:EG4" si="251">DAY(DP1)</f>
        <v>22</v>
      </c>
      <c r="DQ4" s="14">
        <f t="shared" si="251"/>
        <v>23</v>
      </c>
      <c r="DR4" s="14">
        <f t="shared" si="251"/>
        <v>24</v>
      </c>
      <c r="DS4" s="14">
        <f t="shared" si="251"/>
        <v>25</v>
      </c>
      <c r="DT4" s="14">
        <f t="shared" si="251"/>
        <v>26</v>
      </c>
      <c r="DU4" s="14">
        <f t="shared" si="251"/>
        <v>27</v>
      </c>
      <c r="DV4" s="14">
        <f t="shared" si="251"/>
        <v>28</v>
      </c>
      <c r="DW4" s="14">
        <f t="shared" si="251"/>
        <v>29</v>
      </c>
      <c r="DX4" s="14">
        <f t="shared" si="251"/>
        <v>30</v>
      </c>
      <c r="DY4" s="14">
        <f t="shared" si="251"/>
        <v>31</v>
      </c>
      <c r="DZ4" s="14">
        <f t="shared" si="251"/>
        <v>1</v>
      </c>
      <c r="EA4" s="14">
        <f t="shared" si="251"/>
        <v>2</v>
      </c>
      <c r="EB4" s="14">
        <f t="shared" si="251"/>
        <v>3</v>
      </c>
      <c r="EC4" s="14">
        <f t="shared" si="251"/>
        <v>4</v>
      </c>
      <c r="ED4" s="14">
        <f t="shared" si="251"/>
        <v>5</v>
      </c>
      <c r="EE4" s="14">
        <f t="shared" si="251"/>
        <v>6</v>
      </c>
      <c r="EF4" s="14">
        <f t="shared" si="251"/>
        <v>7</v>
      </c>
      <c r="EG4" s="15">
        <f t="shared" si="251"/>
        <v>8</v>
      </c>
    </row>
    <row r="5" spans="1:137" s="16" customFormat="1" ht="27" customHeight="1" x14ac:dyDescent="0.15">
      <c r="A5" s="2" t="s">
        <v>0</v>
      </c>
      <c r="B5" s="6" t="s">
        <v>1</v>
      </c>
      <c r="C5" s="3" t="s">
        <v>8</v>
      </c>
      <c r="D5" s="4"/>
      <c r="E5" s="4"/>
      <c r="F5" s="4"/>
      <c r="G5" s="5"/>
      <c r="H5" s="2" t="s">
        <v>3</v>
      </c>
      <c r="I5" s="2" t="s">
        <v>90</v>
      </c>
      <c r="J5" s="2" t="s">
        <v>4</v>
      </c>
      <c r="K5" s="2" t="s">
        <v>5</v>
      </c>
      <c r="L5" s="7" t="s">
        <v>3</v>
      </c>
      <c r="M5" s="7" t="s">
        <v>4</v>
      </c>
      <c r="N5" s="7" t="s">
        <v>5</v>
      </c>
      <c r="O5" s="3" t="s">
        <v>7</v>
      </c>
      <c r="P5" s="17" t="str">
        <f>TEXT(P1,"aaa")</f>
        <v>火</v>
      </c>
      <c r="Q5" s="18" t="str">
        <f t="shared" ref="Q5:BC5" si="252">TEXT(Q1,"aaa")</f>
        <v>水</v>
      </c>
      <c r="R5" s="18" t="str">
        <f t="shared" si="252"/>
        <v>木</v>
      </c>
      <c r="S5" s="18" t="str">
        <f t="shared" si="252"/>
        <v>金</v>
      </c>
      <c r="T5" s="18" t="str">
        <f t="shared" si="252"/>
        <v>土</v>
      </c>
      <c r="U5" s="18" t="str">
        <f t="shared" si="252"/>
        <v>日</v>
      </c>
      <c r="V5" s="18" t="str">
        <f t="shared" si="252"/>
        <v>月</v>
      </c>
      <c r="W5" s="18" t="str">
        <f t="shared" si="252"/>
        <v>火</v>
      </c>
      <c r="X5" s="18" t="str">
        <f t="shared" si="252"/>
        <v>水</v>
      </c>
      <c r="Y5" s="18" t="str">
        <f t="shared" si="252"/>
        <v>木</v>
      </c>
      <c r="Z5" s="18" t="str">
        <f t="shared" si="252"/>
        <v>金</v>
      </c>
      <c r="AA5" s="18" t="str">
        <f t="shared" si="252"/>
        <v>土</v>
      </c>
      <c r="AB5" s="18" t="str">
        <f t="shared" si="252"/>
        <v>日</v>
      </c>
      <c r="AC5" s="18" t="str">
        <f t="shared" si="252"/>
        <v>月</v>
      </c>
      <c r="AD5" s="18" t="str">
        <f t="shared" si="252"/>
        <v>火</v>
      </c>
      <c r="AE5" s="18" t="str">
        <f t="shared" si="252"/>
        <v>水</v>
      </c>
      <c r="AF5" s="18" t="str">
        <f t="shared" si="252"/>
        <v>木</v>
      </c>
      <c r="AG5" s="18" t="str">
        <f t="shared" si="252"/>
        <v>金</v>
      </c>
      <c r="AH5" s="18" t="str">
        <f t="shared" si="252"/>
        <v>土</v>
      </c>
      <c r="AI5" s="18" t="str">
        <f t="shared" si="252"/>
        <v>日</v>
      </c>
      <c r="AJ5" s="18" t="str">
        <f t="shared" si="252"/>
        <v>月</v>
      </c>
      <c r="AK5" s="18" t="str">
        <f t="shared" si="252"/>
        <v>火</v>
      </c>
      <c r="AL5" s="18" t="str">
        <f t="shared" si="252"/>
        <v>水</v>
      </c>
      <c r="AM5" s="18" t="str">
        <f t="shared" si="252"/>
        <v>木</v>
      </c>
      <c r="AN5" s="18" t="str">
        <f t="shared" si="252"/>
        <v>金</v>
      </c>
      <c r="AO5" s="18" t="str">
        <f t="shared" si="252"/>
        <v>土</v>
      </c>
      <c r="AP5" s="18" t="str">
        <f t="shared" si="252"/>
        <v>日</v>
      </c>
      <c r="AQ5" s="18" t="str">
        <f t="shared" si="252"/>
        <v>月</v>
      </c>
      <c r="AR5" s="18" t="str">
        <f t="shared" si="252"/>
        <v>火</v>
      </c>
      <c r="AS5" s="18" t="str">
        <f t="shared" si="252"/>
        <v>水</v>
      </c>
      <c r="AT5" s="18" t="str">
        <f t="shared" si="252"/>
        <v>木</v>
      </c>
      <c r="AU5" s="18" t="str">
        <f t="shared" si="252"/>
        <v>金</v>
      </c>
      <c r="AV5" s="18" t="str">
        <f t="shared" si="252"/>
        <v>土</v>
      </c>
      <c r="AW5" s="18" t="str">
        <f t="shared" si="252"/>
        <v>日</v>
      </c>
      <c r="AX5" s="18" t="str">
        <f t="shared" si="252"/>
        <v>月</v>
      </c>
      <c r="AY5" s="18" t="str">
        <f t="shared" si="252"/>
        <v>火</v>
      </c>
      <c r="AZ5" s="18" t="str">
        <f t="shared" si="252"/>
        <v>水</v>
      </c>
      <c r="BA5" s="18" t="str">
        <f t="shared" si="252"/>
        <v>木</v>
      </c>
      <c r="BB5" s="18" t="str">
        <f t="shared" si="252"/>
        <v>金</v>
      </c>
      <c r="BC5" s="18" t="str">
        <f t="shared" si="252"/>
        <v>土</v>
      </c>
      <c r="BD5" s="18" t="str">
        <f t="shared" ref="BD5:DO5" si="253">TEXT(BD1,"aaa")</f>
        <v>日</v>
      </c>
      <c r="BE5" s="18" t="str">
        <f t="shared" si="253"/>
        <v>月</v>
      </c>
      <c r="BF5" s="18" t="str">
        <f t="shared" si="253"/>
        <v>火</v>
      </c>
      <c r="BG5" s="18" t="str">
        <f t="shared" si="253"/>
        <v>水</v>
      </c>
      <c r="BH5" s="18" t="str">
        <f t="shared" si="253"/>
        <v>木</v>
      </c>
      <c r="BI5" s="18" t="str">
        <f t="shared" si="253"/>
        <v>金</v>
      </c>
      <c r="BJ5" s="18" t="str">
        <f t="shared" si="253"/>
        <v>土</v>
      </c>
      <c r="BK5" s="18" t="str">
        <f t="shared" si="253"/>
        <v>日</v>
      </c>
      <c r="BL5" s="18" t="str">
        <f t="shared" si="253"/>
        <v>月</v>
      </c>
      <c r="BM5" s="18" t="str">
        <f t="shared" si="253"/>
        <v>火</v>
      </c>
      <c r="BN5" s="18" t="str">
        <f t="shared" si="253"/>
        <v>水</v>
      </c>
      <c r="BO5" s="18" t="str">
        <f t="shared" si="253"/>
        <v>木</v>
      </c>
      <c r="BP5" s="18" t="str">
        <f t="shared" si="253"/>
        <v>金</v>
      </c>
      <c r="BQ5" s="18" t="str">
        <f t="shared" si="253"/>
        <v>土</v>
      </c>
      <c r="BR5" s="18" t="str">
        <f t="shared" si="253"/>
        <v>日</v>
      </c>
      <c r="BS5" s="18" t="str">
        <f t="shared" si="253"/>
        <v>月</v>
      </c>
      <c r="BT5" s="18" t="str">
        <f t="shared" si="253"/>
        <v>火</v>
      </c>
      <c r="BU5" s="18" t="str">
        <f t="shared" si="253"/>
        <v>水</v>
      </c>
      <c r="BV5" s="18" t="str">
        <f t="shared" si="253"/>
        <v>木</v>
      </c>
      <c r="BW5" s="18" t="str">
        <f t="shared" si="253"/>
        <v>金</v>
      </c>
      <c r="BX5" s="18" t="str">
        <f t="shared" si="253"/>
        <v>土</v>
      </c>
      <c r="BY5" s="18" t="str">
        <f t="shared" si="253"/>
        <v>日</v>
      </c>
      <c r="BZ5" s="18" t="str">
        <f t="shared" si="253"/>
        <v>月</v>
      </c>
      <c r="CA5" s="18" t="str">
        <f t="shared" si="253"/>
        <v>火</v>
      </c>
      <c r="CB5" s="18" t="str">
        <f t="shared" si="253"/>
        <v>水</v>
      </c>
      <c r="CC5" s="18" t="str">
        <f t="shared" si="253"/>
        <v>木</v>
      </c>
      <c r="CD5" s="18" t="str">
        <f t="shared" si="253"/>
        <v>金</v>
      </c>
      <c r="CE5" s="18" t="str">
        <f t="shared" si="253"/>
        <v>土</v>
      </c>
      <c r="CF5" s="18" t="str">
        <f t="shared" si="253"/>
        <v>日</v>
      </c>
      <c r="CG5" s="18" t="str">
        <f t="shared" si="253"/>
        <v>月</v>
      </c>
      <c r="CH5" s="18" t="str">
        <f t="shared" si="253"/>
        <v>火</v>
      </c>
      <c r="CI5" s="18" t="str">
        <f t="shared" si="253"/>
        <v>水</v>
      </c>
      <c r="CJ5" s="18" t="str">
        <f t="shared" si="253"/>
        <v>木</v>
      </c>
      <c r="CK5" s="18" t="str">
        <f t="shared" si="253"/>
        <v>金</v>
      </c>
      <c r="CL5" s="18" t="str">
        <f t="shared" si="253"/>
        <v>土</v>
      </c>
      <c r="CM5" s="18" t="str">
        <f t="shared" si="253"/>
        <v>日</v>
      </c>
      <c r="CN5" s="18" t="str">
        <f t="shared" si="253"/>
        <v>月</v>
      </c>
      <c r="CO5" s="18" t="str">
        <f t="shared" si="253"/>
        <v>火</v>
      </c>
      <c r="CP5" s="18" t="str">
        <f t="shared" si="253"/>
        <v>水</v>
      </c>
      <c r="CQ5" s="18" t="str">
        <f t="shared" si="253"/>
        <v>木</v>
      </c>
      <c r="CR5" s="18" t="str">
        <f t="shared" si="253"/>
        <v>金</v>
      </c>
      <c r="CS5" s="18" t="str">
        <f t="shared" si="253"/>
        <v>土</v>
      </c>
      <c r="CT5" s="18" t="str">
        <f t="shared" si="253"/>
        <v>日</v>
      </c>
      <c r="CU5" s="18" t="str">
        <f t="shared" si="253"/>
        <v>月</v>
      </c>
      <c r="CV5" s="18" t="str">
        <f t="shared" si="253"/>
        <v>火</v>
      </c>
      <c r="CW5" s="18" t="str">
        <f t="shared" si="253"/>
        <v>水</v>
      </c>
      <c r="CX5" s="18" t="str">
        <f t="shared" si="253"/>
        <v>木</v>
      </c>
      <c r="CY5" s="18" t="str">
        <f t="shared" si="253"/>
        <v>金</v>
      </c>
      <c r="CZ5" s="18" t="str">
        <f t="shared" si="253"/>
        <v>土</v>
      </c>
      <c r="DA5" s="18" t="str">
        <f t="shared" si="253"/>
        <v>日</v>
      </c>
      <c r="DB5" s="18" t="str">
        <f t="shared" si="253"/>
        <v>月</v>
      </c>
      <c r="DC5" s="18" t="str">
        <f t="shared" si="253"/>
        <v>火</v>
      </c>
      <c r="DD5" s="18" t="str">
        <f t="shared" si="253"/>
        <v>水</v>
      </c>
      <c r="DE5" s="18" t="str">
        <f t="shared" si="253"/>
        <v>木</v>
      </c>
      <c r="DF5" s="18" t="str">
        <f t="shared" si="253"/>
        <v>金</v>
      </c>
      <c r="DG5" s="18" t="str">
        <f t="shared" si="253"/>
        <v>土</v>
      </c>
      <c r="DH5" s="18" t="str">
        <f t="shared" si="253"/>
        <v>日</v>
      </c>
      <c r="DI5" s="18" t="str">
        <f t="shared" si="253"/>
        <v>月</v>
      </c>
      <c r="DJ5" s="18" t="str">
        <f t="shared" si="253"/>
        <v>火</v>
      </c>
      <c r="DK5" s="18" t="str">
        <f t="shared" si="253"/>
        <v>水</v>
      </c>
      <c r="DL5" s="18" t="str">
        <f t="shared" si="253"/>
        <v>木</v>
      </c>
      <c r="DM5" s="18" t="str">
        <f t="shared" si="253"/>
        <v>金</v>
      </c>
      <c r="DN5" s="18" t="str">
        <f t="shared" si="253"/>
        <v>土</v>
      </c>
      <c r="DO5" s="18" t="str">
        <f t="shared" si="253"/>
        <v>日</v>
      </c>
      <c r="DP5" s="18" t="str">
        <f t="shared" ref="DP5:EG5" si="254">TEXT(DP1,"aaa")</f>
        <v>月</v>
      </c>
      <c r="DQ5" s="18" t="str">
        <f t="shared" si="254"/>
        <v>火</v>
      </c>
      <c r="DR5" s="18" t="str">
        <f t="shared" si="254"/>
        <v>水</v>
      </c>
      <c r="DS5" s="18" t="str">
        <f t="shared" si="254"/>
        <v>木</v>
      </c>
      <c r="DT5" s="18" t="str">
        <f t="shared" si="254"/>
        <v>金</v>
      </c>
      <c r="DU5" s="18" t="str">
        <f t="shared" si="254"/>
        <v>土</v>
      </c>
      <c r="DV5" s="18" t="str">
        <f t="shared" si="254"/>
        <v>日</v>
      </c>
      <c r="DW5" s="18" t="str">
        <f t="shared" si="254"/>
        <v>月</v>
      </c>
      <c r="DX5" s="18" t="str">
        <f t="shared" si="254"/>
        <v>火</v>
      </c>
      <c r="DY5" s="18" t="str">
        <f t="shared" si="254"/>
        <v>水</v>
      </c>
      <c r="DZ5" s="18" t="str">
        <f t="shared" si="254"/>
        <v>木</v>
      </c>
      <c r="EA5" s="18" t="str">
        <f t="shared" si="254"/>
        <v>金</v>
      </c>
      <c r="EB5" s="18" t="str">
        <f t="shared" si="254"/>
        <v>土</v>
      </c>
      <c r="EC5" s="18" t="str">
        <f t="shared" si="254"/>
        <v>日</v>
      </c>
      <c r="ED5" s="18" t="str">
        <f t="shared" si="254"/>
        <v>月</v>
      </c>
      <c r="EE5" s="18" t="str">
        <f t="shared" si="254"/>
        <v>火</v>
      </c>
      <c r="EF5" s="18" t="str">
        <f t="shared" si="254"/>
        <v>水</v>
      </c>
      <c r="EG5" s="19" t="str">
        <f t="shared" si="254"/>
        <v>木</v>
      </c>
    </row>
    <row r="6" spans="1:137" s="12" customFormat="1" x14ac:dyDescent="0.15">
      <c r="A6" s="20" t="s">
        <v>75</v>
      </c>
      <c r="B6" s="20"/>
      <c r="C6" s="21"/>
      <c r="D6" s="22"/>
      <c r="E6" s="22"/>
      <c r="F6" s="22"/>
      <c r="G6" s="23"/>
      <c r="H6" s="20">
        <v>1</v>
      </c>
      <c r="I6" s="20">
        <v>1</v>
      </c>
      <c r="J6" s="36">
        <v>42970</v>
      </c>
      <c r="K6" s="37">
        <f>IF(AND(J6&lt;&gt;"",I6&lt;&gt;""),[1]!addBusinessDay(J6,I6-1),"")</f>
        <v>42970</v>
      </c>
      <c r="L6" s="24">
        <f>IF(N6&lt;&gt;"",N6-M6+1,"")</f>
        <v>1</v>
      </c>
      <c r="M6" s="36">
        <v>42970</v>
      </c>
      <c r="N6" s="36">
        <v>42970</v>
      </c>
      <c r="O6" s="20"/>
      <c r="P6" s="25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7"/>
    </row>
    <row r="7" spans="1:137" x14ac:dyDescent="0.15">
      <c r="C7" s="29" t="s">
        <v>103</v>
      </c>
      <c r="H7" s="28">
        <v>2</v>
      </c>
      <c r="I7" s="28">
        <v>5</v>
      </c>
      <c r="J7" s="38">
        <v>43297</v>
      </c>
      <c r="K7" s="39">
        <f>IF(AND(J7&lt;&gt;"",I7&lt;&gt;""),addBusinessDay(J7,I7-1),"")</f>
        <v>43301</v>
      </c>
      <c r="M7" s="38">
        <v>43297</v>
      </c>
      <c r="N7" s="38">
        <v>43301</v>
      </c>
      <c r="V7" s="52" t="s">
        <v>91</v>
      </c>
      <c r="W7" s="52" t="s">
        <v>91</v>
      </c>
      <c r="X7" s="52" t="s">
        <v>91</v>
      </c>
      <c r="Y7" s="52" t="s">
        <v>91</v>
      </c>
      <c r="Z7" s="52" t="s">
        <v>91</v>
      </c>
    </row>
    <row r="8" spans="1:137" outlineLevel="1" x14ac:dyDescent="0.15">
      <c r="D8" s="30" t="s">
        <v>104</v>
      </c>
    </row>
    <row r="9" spans="1:137" outlineLevel="2" x14ac:dyDescent="0.15">
      <c r="E9" s="30" t="s">
        <v>105</v>
      </c>
    </row>
    <row r="10" spans="1:137" outlineLevel="3" x14ac:dyDescent="0.15">
      <c r="F10" s="30" t="s">
        <v>106</v>
      </c>
      <c r="I10" s="28">
        <v>1</v>
      </c>
      <c r="J10" s="38">
        <v>43292</v>
      </c>
      <c r="K10" s="39">
        <f>IF(AND(J10&lt;&gt;"",I10&lt;&gt;""),addBusinessDay(J10,I10-1),"")</f>
        <v>43292</v>
      </c>
      <c r="M10" s="38">
        <v>43292</v>
      </c>
      <c r="Q10" s="52" t="s">
        <v>93</v>
      </c>
      <c r="R10" s="51" t="s">
        <v>93</v>
      </c>
      <c r="S10" s="51" t="s">
        <v>93</v>
      </c>
      <c r="V10" s="51" t="s">
        <v>93</v>
      </c>
      <c r="W10" s="51" t="s">
        <v>93</v>
      </c>
      <c r="X10" s="51" t="s">
        <v>93</v>
      </c>
      <c r="Y10" s="51" t="s">
        <v>93</v>
      </c>
      <c r="Z10" s="51" t="s">
        <v>93</v>
      </c>
      <c r="AD10" s="51" t="s">
        <v>93</v>
      </c>
      <c r="AE10" s="51" t="s">
        <v>93</v>
      </c>
      <c r="AF10" s="51" t="s">
        <v>93</v>
      </c>
      <c r="AG10" s="51" t="s">
        <v>93</v>
      </c>
      <c r="AJ10" s="51" t="s">
        <v>93</v>
      </c>
      <c r="AK10" s="51" t="s">
        <v>93</v>
      </c>
    </row>
    <row r="11" spans="1:137" outlineLevel="4" x14ac:dyDescent="0.15">
      <c r="G11" s="31" t="s">
        <v>107</v>
      </c>
    </row>
    <row r="12" spans="1:137" outlineLevel="4" x14ac:dyDescent="0.15">
      <c r="G12" s="31" t="s">
        <v>108</v>
      </c>
    </row>
    <row r="13" spans="1:137" outlineLevel="4" x14ac:dyDescent="0.15">
      <c r="G13" s="31" t="s">
        <v>109</v>
      </c>
    </row>
    <row r="14" spans="1:137" outlineLevel="4" x14ac:dyDescent="0.15">
      <c r="E14" s="33"/>
      <c r="F14" s="33"/>
      <c r="G14" s="34" t="s">
        <v>110</v>
      </c>
    </row>
    <row r="15" spans="1:137" outlineLevel="3" x14ac:dyDescent="0.15">
      <c r="E15" s="33"/>
      <c r="F15" s="33" t="s">
        <v>111</v>
      </c>
      <c r="G15" s="34" t="s">
        <v>89</v>
      </c>
    </row>
    <row r="16" spans="1:137" outlineLevel="4" x14ac:dyDescent="0.15">
      <c r="G16" s="31" t="s">
        <v>112</v>
      </c>
    </row>
    <row r="17" spans="5:7" outlineLevel="4" x14ac:dyDescent="0.15">
      <c r="G17" s="31" t="s">
        <v>116</v>
      </c>
    </row>
    <row r="18" spans="5:7" outlineLevel="4" x14ac:dyDescent="0.15">
      <c r="G18" s="31" t="s">
        <v>109</v>
      </c>
    </row>
    <row r="19" spans="5:7" outlineLevel="4" x14ac:dyDescent="0.15">
      <c r="G19" s="31" t="s">
        <v>110</v>
      </c>
    </row>
    <row r="20" spans="5:7" outlineLevel="3" x14ac:dyDescent="0.15">
      <c r="F20" s="30" t="s">
        <v>113</v>
      </c>
    </row>
    <row r="21" spans="5:7" outlineLevel="4" x14ac:dyDescent="0.15">
      <c r="G21" s="31" t="s">
        <v>112</v>
      </c>
    </row>
    <row r="22" spans="5:7" outlineLevel="4" x14ac:dyDescent="0.15">
      <c r="G22" s="31" t="s">
        <v>108</v>
      </c>
    </row>
    <row r="23" spans="5:7" outlineLevel="4" x14ac:dyDescent="0.15">
      <c r="G23" s="31" t="s">
        <v>109</v>
      </c>
    </row>
    <row r="24" spans="5:7" outlineLevel="2" x14ac:dyDescent="0.15">
      <c r="E24" s="30" t="s">
        <v>104</v>
      </c>
    </row>
    <row r="25" spans="5:7" outlineLevel="3" x14ac:dyDescent="0.15">
      <c r="F25" s="30" t="s">
        <v>106</v>
      </c>
    </row>
    <row r="26" spans="5:7" outlineLevel="4" x14ac:dyDescent="0.15">
      <c r="G26" s="31" t="s">
        <v>107</v>
      </c>
    </row>
    <row r="27" spans="5:7" outlineLevel="4" x14ac:dyDescent="0.15">
      <c r="G27" s="31" t="s">
        <v>108</v>
      </c>
    </row>
    <row r="28" spans="5:7" outlineLevel="4" x14ac:dyDescent="0.15">
      <c r="G28" s="31" t="s">
        <v>109</v>
      </c>
    </row>
    <row r="29" spans="5:7" outlineLevel="4" x14ac:dyDescent="0.15">
      <c r="F29" s="33"/>
      <c r="G29" s="34" t="s">
        <v>110</v>
      </c>
    </row>
    <row r="30" spans="5:7" outlineLevel="3" x14ac:dyDescent="0.15">
      <c r="F30" s="33" t="s">
        <v>111</v>
      </c>
      <c r="G30" s="34" t="s">
        <v>89</v>
      </c>
    </row>
    <row r="31" spans="5:7" outlineLevel="4" x14ac:dyDescent="0.15">
      <c r="G31" s="31" t="s">
        <v>112</v>
      </c>
    </row>
    <row r="32" spans="5:7" outlineLevel="4" x14ac:dyDescent="0.15">
      <c r="G32" s="31" t="s">
        <v>108</v>
      </c>
    </row>
    <row r="33" spans="4:7" outlineLevel="4" x14ac:dyDescent="0.15">
      <c r="G33" s="31" t="s">
        <v>109</v>
      </c>
    </row>
    <row r="34" spans="4:7" outlineLevel="4" x14ac:dyDescent="0.15">
      <c r="G34" s="31" t="s">
        <v>110</v>
      </c>
    </row>
    <row r="35" spans="4:7" outlineLevel="3" x14ac:dyDescent="0.15">
      <c r="F35" s="30" t="s">
        <v>113</v>
      </c>
    </row>
    <row r="36" spans="4:7" outlineLevel="4" x14ac:dyDescent="0.15">
      <c r="G36" s="31" t="s">
        <v>112</v>
      </c>
    </row>
    <row r="37" spans="4:7" outlineLevel="4" x14ac:dyDescent="0.15">
      <c r="G37" s="31" t="s">
        <v>108</v>
      </c>
    </row>
    <row r="38" spans="4:7" outlineLevel="4" x14ac:dyDescent="0.15">
      <c r="G38" s="31" t="s">
        <v>109</v>
      </c>
    </row>
    <row r="39" spans="4:7" outlineLevel="4" x14ac:dyDescent="0.15"/>
    <row r="40" spans="4:7" outlineLevel="1" x14ac:dyDescent="0.15">
      <c r="D40" s="30" t="s">
        <v>114</v>
      </c>
    </row>
    <row r="41" spans="4:7" outlineLevel="2" x14ac:dyDescent="0.15">
      <c r="E41" s="30" t="s">
        <v>105</v>
      </c>
    </row>
    <row r="42" spans="4:7" outlineLevel="3" x14ac:dyDescent="0.15">
      <c r="F42" s="30" t="s">
        <v>106</v>
      </c>
    </row>
    <row r="43" spans="4:7" outlineLevel="4" x14ac:dyDescent="0.15">
      <c r="G43" s="31" t="s">
        <v>107</v>
      </c>
    </row>
    <row r="44" spans="4:7" outlineLevel="4" x14ac:dyDescent="0.15">
      <c r="G44" s="31" t="s">
        <v>108</v>
      </c>
    </row>
    <row r="45" spans="4:7" outlineLevel="3" x14ac:dyDescent="0.15">
      <c r="E45" s="33"/>
      <c r="F45" s="33" t="s">
        <v>111</v>
      </c>
      <c r="G45" s="34" t="s">
        <v>89</v>
      </c>
    </row>
    <row r="46" spans="4:7" outlineLevel="4" x14ac:dyDescent="0.15">
      <c r="G46" s="31" t="s">
        <v>112</v>
      </c>
    </row>
    <row r="47" spans="4:7" outlineLevel="4" x14ac:dyDescent="0.15">
      <c r="G47" s="31" t="s">
        <v>108</v>
      </c>
    </row>
    <row r="48" spans="4:7" outlineLevel="4" x14ac:dyDescent="0.15">
      <c r="G48" s="31" t="s">
        <v>109</v>
      </c>
    </row>
    <row r="49" spans="5:7" outlineLevel="4" x14ac:dyDescent="0.15">
      <c r="G49" s="31" t="s">
        <v>110</v>
      </c>
    </row>
    <row r="50" spans="5:7" outlineLevel="3" x14ac:dyDescent="0.15">
      <c r="F50" s="30" t="s">
        <v>113</v>
      </c>
    </row>
    <row r="51" spans="5:7" outlineLevel="4" x14ac:dyDescent="0.15">
      <c r="G51" s="31" t="s">
        <v>112</v>
      </c>
    </row>
    <row r="52" spans="5:7" outlineLevel="4" x14ac:dyDescent="0.15">
      <c r="G52" s="31" t="s">
        <v>108</v>
      </c>
    </row>
    <row r="53" spans="5:7" outlineLevel="4" x14ac:dyDescent="0.15">
      <c r="G53" s="31" t="s">
        <v>109</v>
      </c>
    </row>
    <row r="54" spans="5:7" outlineLevel="2" x14ac:dyDescent="0.15">
      <c r="E54" s="30" t="s">
        <v>104</v>
      </c>
    </row>
    <row r="55" spans="5:7" outlineLevel="3" x14ac:dyDescent="0.15">
      <c r="F55" s="30" t="s">
        <v>106</v>
      </c>
    </row>
    <row r="56" spans="5:7" outlineLevel="4" x14ac:dyDescent="0.15">
      <c r="G56" s="31" t="s">
        <v>107</v>
      </c>
    </row>
    <row r="57" spans="5:7" outlineLevel="4" x14ac:dyDescent="0.15">
      <c r="G57" s="31" t="s">
        <v>108</v>
      </c>
    </row>
    <row r="58" spans="5:7" outlineLevel="4" x14ac:dyDescent="0.15">
      <c r="G58" s="31" t="s">
        <v>109</v>
      </c>
    </row>
    <row r="59" spans="5:7" outlineLevel="4" x14ac:dyDescent="0.15">
      <c r="F59" s="33"/>
      <c r="G59" s="34" t="s">
        <v>110</v>
      </c>
    </row>
    <row r="60" spans="5:7" outlineLevel="3" x14ac:dyDescent="0.15">
      <c r="F60" s="33" t="s">
        <v>111</v>
      </c>
      <c r="G60" s="34" t="s">
        <v>89</v>
      </c>
    </row>
    <row r="61" spans="5:7" outlineLevel="4" x14ac:dyDescent="0.15">
      <c r="G61" s="31" t="s">
        <v>112</v>
      </c>
    </row>
    <row r="62" spans="5:7" outlineLevel="4" x14ac:dyDescent="0.15">
      <c r="G62" s="31" t="s">
        <v>108</v>
      </c>
    </row>
    <row r="63" spans="5:7" outlineLevel="4" x14ac:dyDescent="0.15">
      <c r="G63" s="31" t="s">
        <v>109</v>
      </c>
    </row>
    <row r="64" spans="5:7" outlineLevel="4" x14ac:dyDescent="0.15">
      <c r="G64" s="31" t="s">
        <v>110</v>
      </c>
    </row>
    <row r="65" spans="3:7" outlineLevel="4" x14ac:dyDescent="0.15"/>
    <row r="66" spans="3:7" x14ac:dyDescent="0.15">
      <c r="C66" s="29" t="s">
        <v>115</v>
      </c>
    </row>
    <row r="67" spans="3:7" outlineLevel="1" x14ac:dyDescent="0.15">
      <c r="D67" s="30" t="s">
        <v>104</v>
      </c>
    </row>
    <row r="68" spans="3:7" outlineLevel="2" x14ac:dyDescent="0.15">
      <c r="E68" s="30" t="s">
        <v>105</v>
      </c>
    </row>
    <row r="69" spans="3:7" outlineLevel="3" x14ac:dyDescent="0.15">
      <c r="F69" s="30" t="s">
        <v>106</v>
      </c>
    </row>
    <row r="70" spans="3:7" outlineLevel="4" x14ac:dyDescent="0.15">
      <c r="G70" s="31" t="s">
        <v>107</v>
      </c>
    </row>
    <row r="71" spans="3:7" outlineLevel="4" x14ac:dyDescent="0.15">
      <c r="G71" s="31" t="s">
        <v>108</v>
      </c>
    </row>
    <row r="72" spans="3:7" outlineLevel="4" x14ac:dyDescent="0.15">
      <c r="G72" s="31" t="s">
        <v>109</v>
      </c>
    </row>
    <row r="73" spans="3:7" outlineLevel="4" x14ac:dyDescent="0.15">
      <c r="E73" s="33"/>
      <c r="F73" s="33"/>
      <c r="G73" s="34" t="s">
        <v>110</v>
      </c>
    </row>
    <row r="74" spans="3:7" outlineLevel="3" x14ac:dyDescent="0.15">
      <c r="E74" s="33"/>
      <c r="F74" s="33" t="s">
        <v>111</v>
      </c>
      <c r="G74" s="34" t="s">
        <v>89</v>
      </c>
    </row>
    <row r="75" spans="3:7" outlineLevel="4" x14ac:dyDescent="0.15">
      <c r="G75" s="31" t="s">
        <v>112</v>
      </c>
    </row>
    <row r="76" spans="3:7" outlineLevel="4" x14ac:dyDescent="0.15">
      <c r="G76" s="31" t="s">
        <v>108</v>
      </c>
    </row>
    <row r="77" spans="3:7" outlineLevel="4" x14ac:dyDescent="0.15">
      <c r="G77" s="31" t="s">
        <v>109</v>
      </c>
    </row>
    <row r="78" spans="3:7" outlineLevel="4" x14ac:dyDescent="0.15">
      <c r="G78" s="31" t="s">
        <v>110</v>
      </c>
    </row>
    <row r="79" spans="3:7" outlineLevel="3" x14ac:dyDescent="0.15">
      <c r="F79" s="30" t="s">
        <v>113</v>
      </c>
    </row>
    <row r="80" spans="3:7" outlineLevel="4" x14ac:dyDescent="0.15">
      <c r="G80" s="31" t="s">
        <v>112</v>
      </c>
    </row>
    <row r="81" spans="5:7" outlineLevel="4" x14ac:dyDescent="0.15">
      <c r="G81" s="31" t="s">
        <v>108</v>
      </c>
    </row>
    <row r="82" spans="5:7" outlineLevel="4" x14ac:dyDescent="0.15">
      <c r="G82" s="31" t="s">
        <v>109</v>
      </c>
    </row>
    <row r="83" spans="5:7" outlineLevel="2" x14ac:dyDescent="0.15">
      <c r="E83" s="30" t="s">
        <v>104</v>
      </c>
    </row>
    <row r="84" spans="5:7" outlineLevel="3" x14ac:dyDescent="0.15">
      <c r="F84" s="30" t="s">
        <v>106</v>
      </c>
    </row>
    <row r="85" spans="5:7" outlineLevel="4" x14ac:dyDescent="0.15">
      <c r="G85" s="31" t="s">
        <v>107</v>
      </c>
    </row>
    <row r="86" spans="5:7" outlineLevel="4" x14ac:dyDescent="0.15">
      <c r="G86" s="31" t="s">
        <v>108</v>
      </c>
    </row>
    <row r="87" spans="5:7" outlineLevel="4" x14ac:dyDescent="0.15">
      <c r="G87" s="31" t="s">
        <v>109</v>
      </c>
    </row>
    <row r="88" spans="5:7" outlineLevel="4" x14ac:dyDescent="0.15">
      <c r="F88" s="33"/>
      <c r="G88" s="34" t="s">
        <v>110</v>
      </c>
    </row>
    <row r="89" spans="5:7" outlineLevel="3" x14ac:dyDescent="0.15">
      <c r="F89" s="33" t="s">
        <v>111</v>
      </c>
      <c r="G89" s="34" t="s">
        <v>89</v>
      </c>
    </row>
    <row r="90" spans="5:7" outlineLevel="4" x14ac:dyDescent="0.15">
      <c r="G90" s="31" t="s">
        <v>112</v>
      </c>
    </row>
    <row r="91" spans="5:7" outlineLevel="4" x14ac:dyDescent="0.15">
      <c r="G91" s="31" t="s">
        <v>108</v>
      </c>
    </row>
    <row r="92" spans="5:7" outlineLevel="4" x14ac:dyDescent="0.15">
      <c r="G92" s="31" t="s">
        <v>109</v>
      </c>
    </row>
    <row r="93" spans="5:7" outlineLevel="4" x14ac:dyDescent="0.15">
      <c r="G93" s="31" t="s">
        <v>110</v>
      </c>
    </row>
    <row r="94" spans="5:7" outlineLevel="3" x14ac:dyDescent="0.15">
      <c r="F94" s="30" t="s">
        <v>113</v>
      </c>
    </row>
    <row r="95" spans="5:7" outlineLevel="4" x14ac:dyDescent="0.15">
      <c r="G95" s="31" t="s">
        <v>112</v>
      </c>
    </row>
    <row r="96" spans="5:7" outlineLevel="4" x14ac:dyDescent="0.15">
      <c r="G96" s="31" t="s">
        <v>108</v>
      </c>
    </row>
    <row r="97" spans="4:7" outlineLevel="4" x14ac:dyDescent="0.15">
      <c r="G97" s="31" t="s">
        <v>109</v>
      </c>
    </row>
    <row r="98" spans="4:7" outlineLevel="4" x14ac:dyDescent="0.15"/>
    <row r="99" spans="4:7" outlineLevel="1" x14ac:dyDescent="0.15">
      <c r="D99" s="30" t="s">
        <v>114</v>
      </c>
    </row>
    <row r="100" spans="4:7" outlineLevel="2" x14ac:dyDescent="0.15">
      <c r="E100" s="30" t="s">
        <v>105</v>
      </c>
    </row>
    <row r="101" spans="4:7" outlineLevel="3" x14ac:dyDescent="0.15">
      <c r="F101" s="30" t="s">
        <v>106</v>
      </c>
    </row>
    <row r="102" spans="4:7" outlineLevel="4" x14ac:dyDescent="0.15">
      <c r="G102" s="31" t="s">
        <v>107</v>
      </c>
    </row>
    <row r="103" spans="4:7" outlineLevel="4" x14ac:dyDescent="0.15">
      <c r="G103" s="31" t="s">
        <v>108</v>
      </c>
    </row>
    <row r="104" spans="4:7" outlineLevel="3" x14ac:dyDescent="0.15">
      <c r="E104" s="33"/>
      <c r="F104" s="33" t="s">
        <v>111</v>
      </c>
      <c r="G104" s="34" t="s">
        <v>89</v>
      </c>
    </row>
    <row r="105" spans="4:7" outlineLevel="4" x14ac:dyDescent="0.15">
      <c r="G105" s="31" t="s">
        <v>112</v>
      </c>
    </row>
    <row r="106" spans="4:7" outlineLevel="4" x14ac:dyDescent="0.15">
      <c r="G106" s="31" t="s">
        <v>108</v>
      </c>
    </row>
    <row r="107" spans="4:7" outlineLevel="4" x14ac:dyDescent="0.15">
      <c r="G107" s="31" t="s">
        <v>109</v>
      </c>
    </row>
    <row r="108" spans="4:7" outlineLevel="4" x14ac:dyDescent="0.15">
      <c r="G108" s="31" t="s">
        <v>110</v>
      </c>
    </row>
    <row r="109" spans="4:7" outlineLevel="3" x14ac:dyDescent="0.15">
      <c r="F109" s="30" t="s">
        <v>113</v>
      </c>
    </row>
    <row r="110" spans="4:7" outlineLevel="4" x14ac:dyDescent="0.15">
      <c r="G110" s="31" t="s">
        <v>112</v>
      </c>
    </row>
    <row r="111" spans="4:7" outlineLevel="4" x14ac:dyDescent="0.15">
      <c r="G111" s="31" t="s">
        <v>108</v>
      </c>
    </row>
    <row r="112" spans="4:7" outlineLevel="4" x14ac:dyDescent="0.15">
      <c r="G112" s="31" t="s">
        <v>109</v>
      </c>
    </row>
    <row r="113" spans="5:7" outlineLevel="2" x14ac:dyDescent="0.15">
      <c r="E113" s="30" t="s">
        <v>104</v>
      </c>
    </row>
    <row r="114" spans="5:7" outlineLevel="3" x14ac:dyDescent="0.15">
      <c r="F114" s="30" t="s">
        <v>106</v>
      </c>
    </row>
    <row r="115" spans="5:7" outlineLevel="4" x14ac:dyDescent="0.15">
      <c r="G115" s="31" t="s">
        <v>107</v>
      </c>
    </row>
    <row r="116" spans="5:7" outlineLevel="4" x14ac:dyDescent="0.15">
      <c r="G116" s="31" t="s">
        <v>108</v>
      </c>
    </row>
    <row r="117" spans="5:7" outlineLevel="4" x14ac:dyDescent="0.15">
      <c r="G117" s="31" t="s">
        <v>109</v>
      </c>
    </row>
    <row r="118" spans="5:7" outlineLevel="4" x14ac:dyDescent="0.15">
      <c r="F118" s="33"/>
      <c r="G118" s="34" t="s">
        <v>110</v>
      </c>
    </row>
    <row r="119" spans="5:7" outlineLevel="3" x14ac:dyDescent="0.15">
      <c r="F119" s="33" t="s">
        <v>111</v>
      </c>
      <c r="G119" s="34" t="s">
        <v>89</v>
      </c>
    </row>
    <row r="120" spans="5:7" outlineLevel="4" x14ac:dyDescent="0.15">
      <c r="G120" s="31" t="s">
        <v>112</v>
      </c>
    </row>
    <row r="121" spans="5:7" outlineLevel="4" x14ac:dyDescent="0.15">
      <c r="G121" s="31" t="s">
        <v>108</v>
      </c>
    </row>
    <row r="122" spans="5:7" outlineLevel="4" x14ac:dyDescent="0.15">
      <c r="G122" s="31" t="s">
        <v>109</v>
      </c>
    </row>
    <row r="123" spans="5:7" outlineLevel="4" x14ac:dyDescent="0.15">
      <c r="G123" s="31" t="s">
        <v>110</v>
      </c>
    </row>
    <row r="124" spans="5:7" outlineLevel="4" x14ac:dyDescent="0.15"/>
  </sheetData>
  <autoFilter ref="A5:EG5"/>
  <mergeCells count="3">
    <mergeCell ref="A4:G4"/>
    <mergeCell ref="H4:K4"/>
    <mergeCell ref="L4:N4"/>
  </mergeCells>
  <phoneticPr fontId="1"/>
  <conditionalFormatting sqref="P4:EG1048576">
    <cfRule type="expression" dxfId="1" priority="1">
      <formula>P$1=TODAY()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writeSchedule">
                <anchor moveWithCells="1" sizeWithCells="1">
                  <from>
                    <xdr:col>0</xdr:col>
                    <xdr:colOff>133350</xdr:colOff>
                    <xdr:row>0</xdr:row>
                    <xdr:rowOff>66675</xdr:rowOff>
                  </from>
                  <to>
                    <xdr:col>4</xdr:col>
                    <xdr:colOff>123825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6</xdr:col>
                    <xdr:colOff>1447800</xdr:colOff>
                    <xdr:row>0</xdr:row>
                    <xdr:rowOff>57150</xdr:rowOff>
                  </from>
                  <to>
                    <xdr:col>6</xdr:col>
                    <xdr:colOff>2590800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keOutline">
                <anchor moveWithCells="1" sizeWithCells="1">
                  <from>
                    <xdr:col>5</xdr:col>
                    <xdr:colOff>209550</xdr:colOff>
                    <xdr:row>0</xdr:row>
                    <xdr:rowOff>66675</xdr:rowOff>
                  </from>
                  <to>
                    <xdr:col>6</xdr:col>
                    <xdr:colOff>1085850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D10E03A-CE9C-413C-B290-55DD869F91C0}">
            <xm:f>OR(P$5="土",P$5="日",NOT(ISERROR(VLOOKUP(P$1,設定!$D$3:$D$1048576,1,FALSE))))</xm:f>
            <x14:dxf>
              <fill>
                <patternFill>
                  <bgColor theme="6" tint="0.59996337778862885"/>
                </patternFill>
              </fill>
            </x14:dxf>
          </x14:cfRule>
          <xm:sqref>P4:EG1048576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1"/>
  <dimension ref="A1:J48"/>
  <sheetViews>
    <sheetView workbookViewId="0">
      <selection activeCell="A2" sqref="A2"/>
    </sheetView>
  </sheetViews>
  <sheetFormatPr defaultRowHeight="13.5" x14ac:dyDescent="0.15"/>
  <cols>
    <col min="1" max="1" width="10.5" style="41" customWidth="1"/>
    <col min="2" max="2" width="9" style="41"/>
    <col min="3" max="3" width="14.75" style="41" customWidth="1"/>
    <col min="4" max="5" width="12.375" style="48" customWidth="1"/>
    <col min="6" max="6" width="14.25" style="41" customWidth="1"/>
    <col min="7" max="7" width="9" style="41"/>
    <col min="8" max="8" width="15.125" style="41" customWidth="1"/>
    <col min="9" max="10" width="21.375" style="41" customWidth="1"/>
    <col min="11" max="16384" width="9" style="41"/>
  </cols>
  <sheetData>
    <row r="1" spans="1:10" x14ac:dyDescent="0.15">
      <c r="A1" s="40" t="s">
        <v>4</v>
      </c>
      <c r="C1" s="65" t="s">
        <v>11</v>
      </c>
      <c r="D1" s="65"/>
      <c r="E1" s="65"/>
      <c r="F1" s="65"/>
      <c r="H1" s="40" t="s">
        <v>78</v>
      </c>
      <c r="I1" s="40" t="s">
        <v>79</v>
      </c>
      <c r="J1" s="40" t="s">
        <v>79</v>
      </c>
    </row>
    <row r="2" spans="1:10" x14ac:dyDescent="0.15">
      <c r="A2" s="42">
        <v>43291</v>
      </c>
      <c r="C2" s="40" t="s">
        <v>72</v>
      </c>
      <c r="D2" s="46" t="s">
        <v>73</v>
      </c>
      <c r="E2" s="56" t="s">
        <v>96</v>
      </c>
      <c r="F2" s="40" t="s">
        <v>74</v>
      </c>
      <c r="H2" s="43"/>
      <c r="I2" s="44" t="s">
        <v>82</v>
      </c>
      <c r="J2" s="44" t="s">
        <v>83</v>
      </c>
    </row>
    <row r="3" spans="1:10" x14ac:dyDescent="0.15">
      <c r="C3" s="49" t="s">
        <v>12</v>
      </c>
      <c r="D3" s="47">
        <f>IF(WEEKDAY(DATE(YEAR(SucheduleStartDay), 1, 1))=1,DATE(YEAR(SucheduleStartDay), 1, 1+1),DATE(YEAR(SucheduleStartDay), 1, 1))</f>
        <v>43101</v>
      </c>
      <c r="E3" s="57" t="s">
        <v>97</v>
      </c>
      <c r="F3" s="45" t="s">
        <v>13</v>
      </c>
    </row>
    <row r="4" spans="1:10" x14ac:dyDescent="0.15">
      <c r="C4" s="49" t="s">
        <v>14</v>
      </c>
      <c r="D4" s="59">
        <f>DATE(YEAR(SucheduleStartDay),1,1)+VALUE(MID("1065432",WEEKDAY(DATE(YEAR(SucheduleStartDay),1,1),1),1))+7</f>
        <v>43108</v>
      </c>
      <c r="E4" s="57" t="s">
        <v>97</v>
      </c>
      <c r="F4" s="45" t="s">
        <v>15</v>
      </c>
    </row>
    <row r="5" spans="1:10" x14ac:dyDescent="0.15">
      <c r="C5" s="49" t="s">
        <v>16</v>
      </c>
      <c r="D5" s="47">
        <f>IF(WEEKDAY(DATE(YEAR(SucheduleStartDay), 2,11))=1,DATE(YEAR(SucheduleStartDay), 2,11+1),DATE(YEAR(SucheduleStartDay), 2,11))</f>
        <v>43143</v>
      </c>
      <c r="E5" s="57" t="s">
        <v>97</v>
      </c>
      <c r="F5" s="45" t="s">
        <v>17</v>
      </c>
    </row>
    <row r="6" spans="1:10" x14ac:dyDescent="0.15">
      <c r="C6" s="49" t="s">
        <v>18</v>
      </c>
      <c r="D6" s="47">
        <f>IF(WEEKDAY(DATE(YEAR(SucheduleStartDay), 3,21))=1,DATE(YEAR(SucheduleStartDay), 3,21+1),DATE(YEAR(SucheduleStartDay), 3,21))</f>
        <v>43180</v>
      </c>
      <c r="E6" s="57" t="s">
        <v>97</v>
      </c>
      <c r="F6" s="58" t="s">
        <v>98</v>
      </c>
    </row>
    <row r="7" spans="1:10" x14ac:dyDescent="0.15">
      <c r="C7" s="49" t="s">
        <v>19</v>
      </c>
      <c r="D7" s="47">
        <f>IF(WEEKDAY(DATE(YEAR(SucheduleStartDay), 4,29))=1,DATE(YEAR(SucheduleStartDay), 4,29+1),DATE(YEAR(SucheduleStartDay), 4,29))</f>
        <v>43220</v>
      </c>
      <c r="E7" s="57" t="s">
        <v>97</v>
      </c>
      <c r="F7" s="45" t="s">
        <v>20</v>
      </c>
    </row>
    <row r="8" spans="1:10" x14ac:dyDescent="0.15">
      <c r="C8" s="49" t="s">
        <v>21</v>
      </c>
      <c r="D8" s="47">
        <f>IF(WEEKDAY(DATE(YEAR(SucheduleStartDay),5, 3))=1,DATE(YEAR(SucheduleStartDay),5, 3+1),DATE(YEAR(SucheduleStartDay),5, 3))</f>
        <v>43223</v>
      </c>
      <c r="E8" s="57" t="s">
        <v>97</v>
      </c>
      <c r="F8" s="45" t="s">
        <v>22</v>
      </c>
    </row>
    <row r="9" spans="1:10" x14ac:dyDescent="0.15">
      <c r="C9" s="49" t="s">
        <v>23</v>
      </c>
      <c r="D9" s="47">
        <f>IF(WEEKDAY(DATE(YEAR(SucheduleStartDay),5, 4))=1,DATE(YEAR(SucheduleStartDay),5, 4+1),DATE(YEAR(SucheduleStartDay),5, 4))</f>
        <v>43224</v>
      </c>
      <c r="E9" s="57" t="s">
        <v>97</v>
      </c>
      <c r="F9" s="45" t="s">
        <v>24</v>
      </c>
    </row>
    <row r="10" spans="1:10" x14ac:dyDescent="0.15">
      <c r="C10" s="49" t="s">
        <v>25</v>
      </c>
      <c r="D10" s="47">
        <f>IF(WEEKDAY(DATE(YEAR(SucheduleStartDay),5, 5))=1,DATE(YEAR(SucheduleStartDay),5, 5+1),DATE(YEAR(SucheduleStartDay),5, 5))</f>
        <v>43225</v>
      </c>
      <c r="E10" s="57" t="s">
        <v>97</v>
      </c>
      <c r="F10" s="45" t="s">
        <v>26</v>
      </c>
    </row>
    <row r="11" spans="1:10" x14ac:dyDescent="0.15">
      <c r="C11" s="49" t="s">
        <v>27</v>
      </c>
      <c r="D11" s="47">
        <f>DATE(YEAR(SucheduleStartDay),7,1)+VALUE(MID("1065432",WEEKDAY(DATE(YEAR(SucheduleStartDay),7,1),1),1))+21</f>
        <v>43304</v>
      </c>
      <c r="E11" s="57" t="s">
        <v>97</v>
      </c>
      <c r="F11" s="45" t="s">
        <v>28</v>
      </c>
    </row>
    <row r="12" spans="1:10" x14ac:dyDescent="0.15">
      <c r="C12" s="49" t="s">
        <v>29</v>
      </c>
      <c r="D12" s="47">
        <f>IF(WEEKDAY(DATE(YEAR(SucheduleStartDay),8,11))=1,DATE(YEAR(SucheduleStartDay),8,11+1),DATE(YEAR(SucheduleStartDay),8,11))</f>
        <v>43323</v>
      </c>
      <c r="E12" s="57" t="s">
        <v>97</v>
      </c>
      <c r="F12" s="45" t="s">
        <v>30</v>
      </c>
    </row>
    <row r="13" spans="1:10" x14ac:dyDescent="0.15">
      <c r="C13" s="49" t="s">
        <v>31</v>
      </c>
      <c r="D13" s="47">
        <f>DATE(YEAR(SucheduleStartDay),9,1)+VALUE(MID("1065432",WEEKDAY(DATE(YEAR(SucheduleStartDay),9,1),1),1))+14</f>
        <v>43360</v>
      </c>
      <c r="E13" s="57" t="s">
        <v>97</v>
      </c>
      <c r="F13" s="45" t="s">
        <v>32</v>
      </c>
    </row>
    <row r="14" spans="1:10" x14ac:dyDescent="0.15">
      <c r="C14" s="49" t="s">
        <v>33</v>
      </c>
      <c r="D14" s="47">
        <f>IF(WEEKDAY(DATE(YEAR(SucheduleStartDay),9,23))=1,DATE(YEAR(SucheduleStartDay),9,23+1),DATE(YEAR(SucheduleStartDay),9,23))</f>
        <v>43367</v>
      </c>
      <c r="E14" s="57" t="s">
        <v>97</v>
      </c>
      <c r="F14" s="58" t="s">
        <v>99</v>
      </c>
    </row>
    <row r="15" spans="1:10" x14ac:dyDescent="0.15">
      <c r="C15" s="49" t="s">
        <v>34</v>
      </c>
      <c r="D15" s="47">
        <f>DATE(YEAR(SucheduleStartDay),10,1)+VALUE(MID("1065432",WEEKDAY(DATE(YEAR(SucheduleStartDay),10,1),1),1))+7</f>
        <v>43381</v>
      </c>
      <c r="E15" s="57" t="s">
        <v>97</v>
      </c>
      <c r="F15" s="45" t="s">
        <v>35</v>
      </c>
      <c r="I15" s="55"/>
    </row>
    <row r="16" spans="1:10" x14ac:dyDescent="0.15">
      <c r="C16" s="49" t="s">
        <v>36</v>
      </c>
      <c r="D16" s="47">
        <f>IF(WEEKDAY(DATE(YEAR(SucheduleStartDay),11,3))=1,DATE(YEAR(SucheduleStartDay),11,3+1),DATE(YEAR(SucheduleStartDay),11,3))</f>
        <v>43407</v>
      </c>
      <c r="E16" s="57" t="s">
        <v>97</v>
      </c>
      <c r="F16" s="45" t="s">
        <v>37</v>
      </c>
    </row>
    <row r="17" spans="3:6" x14ac:dyDescent="0.15">
      <c r="C17" s="49" t="s">
        <v>38</v>
      </c>
      <c r="D17" s="47">
        <f>IF(WEEKDAY(DATE(YEAR(SucheduleStartDay),11,23))=1,DATE(YEAR(SucheduleStartDay),11,23+1),DATE(YEAR(SucheduleStartDay),11,23))</f>
        <v>43427</v>
      </c>
      <c r="E17" s="57" t="s">
        <v>97</v>
      </c>
      <c r="F17" s="45" t="s">
        <v>39</v>
      </c>
    </row>
    <row r="18" spans="3:6" x14ac:dyDescent="0.15">
      <c r="C18" s="49" t="s">
        <v>40</v>
      </c>
      <c r="D18" s="47">
        <f>IF(WEEKDAY(DATE(YEAR(SucheduleStartDay),12,23))=1,DATE(YEAR(SucheduleStartDay),12,23+1),DATE(YEAR(SucheduleStartDay),12,23))</f>
        <v>43458</v>
      </c>
      <c r="E18" s="57" t="s">
        <v>97</v>
      </c>
      <c r="F18" s="45" t="s">
        <v>41</v>
      </c>
    </row>
    <row r="19" spans="3:6" x14ac:dyDescent="0.15">
      <c r="C19" s="45" t="s">
        <v>42</v>
      </c>
      <c r="D19" s="47"/>
      <c r="E19" s="47"/>
      <c r="F19" s="45"/>
    </row>
    <row r="20" spans="3:6" x14ac:dyDescent="0.15">
      <c r="C20" s="45" t="s">
        <v>43</v>
      </c>
      <c r="D20" s="47"/>
      <c r="E20" s="47"/>
      <c r="F20" s="45"/>
    </row>
    <row r="21" spans="3:6" x14ac:dyDescent="0.15">
      <c r="C21" s="45" t="s">
        <v>44</v>
      </c>
      <c r="D21" s="47"/>
      <c r="E21" s="47"/>
      <c r="F21" s="45"/>
    </row>
    <row r="22" spans="3:6" x14ac:dyDescent="0.15">
      <c r="C22" s="45" t="s">
        <v>45</v>
      </c>
      <c r="D22" s="47"/>
      <c r="E22" s="47"/>
      <c r="F22" s="45"/>
    </row>
    <row r="23" spans="3:6" x14ac:dyDescent="0.15">
      <c r="C23" s="45" t="s">
        <v>46</v>
      </c>
      <c r="D23" s="47"/>
      <c r="E23" s="47"/>
      <c r="F23" s="45"/>
    </row>
    <row r="24" spans="3:6" x14ac:dyDescent="0.15">
      <c r="C24" s="45" t="s">
        <v>47</v>
      </c>
      <c r="D24" s="47"/>
      <c r="E24" s="47"/>
      <c r="F24" s="45"/>
    </row>
    <row r="25" spans="3:6" x14ac:dyDescent="0.15">
      <c r="C25" s="45" t="s">
        <v>48</v>
      </c>
      <c r="D25" s="47"/>
      <c r="E25" s="47"/>
      <c r="F25" s="45"/>
    </row>
    <row r="26" spans="3:6" x14ac:dyDescent="0.15">
      <c r="C26" s="45" t="s">
        <v>49</v>
      </c>
      <c r="D26" s="47"/>
      <c r="E26" s="47"/>
      <c r="F26" s="45"/>
    </row>
    <row r="27" spans="3:6" x14ac:dyDescent="0.15">
      <c r="C27" s="45" t="s">
        <v>50</v>
      </c>
      <c r="D27" s="47"/>
      <c r="E27" s="47"/>
      <c r="F27" s="45"/>
    </row>
    <row r="28" spans="3:6" x14ac:dyDescent="0.15">
      <c r="C28" s="45" t="s">
        <v>51</v>
      </c>
      <c r="D28" s="47"/>
      <c r="E28" s="47"/>
      <c r="F28" s="45"/>
    </row>
    <row r="29" spans="3:6" x14ac:dyDescent="0.15">
      <c r="C29" s="45" t="s">
        <v>52</v>
      </c>
      <c r="D29" s="47"/>
      <c r="E29" s="47"/>
      <c r="F29" s="45"/>
    </row>
    <row r="30" spans="3:6" x14ac:dyDescent="0.15">
      <c r="C30" s="45" t="s">
        <v>53</v>
      </c>
      <c r="D30" s="47"/>
      <c r="E30" s="47"/>
      <c r="F30" s="45"/>
    </row>
    <row r="31" spans="3:6" x14ac:dyDescent="0.15">
      <c r="C31" s="45" t="s">
        <v>54</v>
      </c>
      <c r="D31" s="47"/>
      <c r="E31" s="47"/>
      <c r="F31" s="45"/>
    </row>
    <row r="32" spans="3:6" x14ac:dyDescent="0.15">
      <c r="C32" s="45" t="s">
        <v>55</v>
      </c>
      <c r="D32" s="47"/>
      <c r="E32" s="47"/>
      <c r="F32" s="45"/>
    </row>
    <row r="33" spans="3:6" x14ac:dyDescent="0.15">
      <c r="C33" s="45" t="s">
        <v>56</v>
      </c>
      <c r="D33" s="47"/>
      <c r="E33" s="47"/>
      <c r="F33" s="45"/>
    </row>
    <row r="34" spans="3:6" x14ac:dyDescent="0.15">
      <c r="C34" s="45" t="s">
        <v>57</v>
      </c>
      <c r="D34" s="47"/>
      <c r="E34" s="47"/>
      <c r="F34" s="45"/>
    </row>
    <row r="35" spans="3:6" x14ac:dyDescent="0.15">
      <c r="C35" s="45" t="s">
        <v>58</v>
      </c>
      <c r="D35" s="47"/>
      <c r="E35" s="47"/>
      <c r="F35" s="45"/>
    </row>
    <row r="36" spans="3:6" x14ac:dyDescent="0.15">
      <c r="C36" s="45" t="s">
        <v>59</v>
      </c>
      <c r="D36" s="47"/>
      <c r="E36" s="47"/>
      <c r="F36" s="45"/>
    </row>
    <row r="37" spans="3:6" x14ac:dyDescent="0.15">
      <c r="C37" s="45" t="s">
        <v>60</v>
      </c>
      <c r="D37" s="47"/>
      <c r="E37" s="47"/>
      <c r="F37" s="45"/>
    </row>
    <row r="38" spans="3:6" x14ac:dyDescent="0.15">
      <c r="C38" s="45" t="s">
        <v>61</v>
      </c>
      <c r="D38" s="47"/>
      <c r="E38" s="47"/>
      <c r="F38" s="45"/>
    </row>
    <row r="39" spans="3:6" x14ac:dyDescent="0.15">
      <c r="C39" s="45" t="s">
        <v>62</v>
      </c>
      <c r="D39" s="47"/>
      <c r="E39" s="47"/>
      <c r="F39" s="45"/>
    </row>
    <row r="40" spans="3:6" x14ac:dyDescent="0.15">
      <c r="C40" s="45" t="s">
        <v>63</v>
      </c>
      <c r="D40" s="47"/>
      <c r="E40" s="47"/>
      <c r="F40" s="45"/>
    </row>
    <row r="41" spans="3:6" x14ac:dyDescent="0.15">
      <c r="C41" s="45" t="s">
        <v>64</v>
      </c>
      <c r="D41" s="47"/>
      <c r="E41" s="47"/>
      <c r="F41" s="45"/>
    </row>
    <row r="42" spans="3:6" x14ac:dyDescent="0.15">
      <c r="C42" s="45" t="s">
        <v>65</v>
      </c>
      <c r="D42" s="47"/>
      <c r="E42" s="47"/>
      <c r="F42" s="45"/>
    </row>
    <row r="43" spans="3:6" x14ac:dyDescent="0.15">
      <c r="C43" s="45" t="s">
        <v>66</v>
      </c>
      <c r="D43" s="47"/>
      <c r="E43" s="47"/>
      <c r="F43" s="45"/>
    </row>
    <row r="44" spans="3:6" x14ac:dyDescent="0.15">
      <c r="C44" s="45" t="s">
        <v>67</v>
      </c>
      <c r="D44" s="47"/>
      <c r="E44" s="47"/>
      <c r="F44" s="45"/>
    </row>
    <row r="45" spans="3:6" x14ac:dyDescent="0.15">
      <c r="C45" s="45" t="s">
        <v>68</v>
      </c>
      <c r="D45" s="47"/>
      <c r="E45" s="47"/>
      <c r="F45" s="45"/>
    </row>
    <row r="46" spans="3:6" x14ac:dyDescent="0.15">
      <c r="C46" s="45" t="s">
        <v>69</v>
      </c>
      <c r="D46" s="47"/>
      <c r="E46" s="47"/>
      <c r="F46" s="45"/>
    </row>
    <row r="47" spans="3:6" x14ac:dyDescent="0.15">
      <c r="C47" s="45" t="s">
        <v>70</v>
      </c>
      <c r="D47" s="47"/>
      <c r="E47" s="47"/>
      <c r="F47" s="45"/>
    </row>
    <row r="48" spans="3:6" x14ac:dyDescent="0.15">
      <c r="C48" s="45" t="s">
        <v>71</v>
      </c>
      <c r="D48" s="47"/>
      <c r="E48" s="47"/>
      <c r="F48" s="45"/>
    </row>
  </sheetData>
  <mergeCells count="1">
    <mergeCell ref="C1:F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A7" sqref="A7"/>
    </sheetView>
  </sheetViews>
  <sheetFormatPr defaultRowHeight="13.5" x14ac:dyDescent="0.15"/>
  <sheetData>
    <row r="1" spans="1:2" x14ac:dyDescent="0.15">
      <c r="B1" t="s">
        <v>76</v>
      </c>
    </row>
    <row r="2" spans="1:2" x14ac:dyDescent="0.15">
      <c r="B2" t="s">
        <v>77</v>
      </c>
    </row>
    <row r="3" spans="1:2" x14ac:dyDescent="0.15">
      <c r="A3" t="s">
        <v>94</v>
      </c>
      <c r="B3" t="s">
        <v>80</v>
      </c>
    </row>
    <row r="4" spans="1:2" x14ac:dyDescent="0.15">
      <c r="A4" t="s">
        <v>94</v>
      </c>
      <c r="B4" t="s">
        <v>81</v>
      </c>
    </row>
    <row r="5" spans="1:2" x14ac:dyDescent="0.15">
      <c r="A5" t="s">
        <v>92</v>
      </c>
      <c r="B5" t="s">
        <v>84</v>
      </c>
    </row>
    <row r="6" spans="1:2" x14ac:dyDescent="0.15">
      <c r="B6" t="s">
        <v>85</v>
      </c>
    </row>
    <row r="7" spans="1:2" x14ac:dyDescent="0.15">
      <c r="B7" t="s">
        <v>86</v>
      </c>
    </row>
    <row r="8" spans="1:2" x14ac:dyDescent="0.15">
      <c r="B8" t="s">
        <v>87</v>
      </c>
    </row>
    <row r="9" spans="1:2" x14ac:dyDescent="0.15">
      <c r="B9" t="s">
        <v>88</v>
      </c>
    </row>
    <row r="10" spans="1:2" x14ac:dyDescent="0.15">
      <c r="A10" t="s">
        <v>94</v>
      </c>
      <c r="B10" t="s">
        <v>95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8"/>
  <sheetViews>
    <sheetView workbookViewId="0">
      <selection activeCell="B1" sqref="B1:F1"/>
    </sheetView>
  </sheetViews>
  <sheetFormatPr defaultRowHeight="13.5" x14ac:dyDescent="0.15"/>
  <cols>
    <col min="1" max="8" width="9" style="1"/>
  </cols>
  <sheetData>
    <row r="1" spans="1:8" x14ac:dyDescent="0.15">
      <c r="A1" s="62" t="s">
        <v>100</v>
      </c>
      <c r="B1" s="66" t="s">
        <v>8</v>
      </c>
      <c r="C1" s="67"/>
      <c r="D1" s="67"/>
      <c r="E1" s="67"/>
      <c r="F1" s="68"/>
      <c r="G1" s="62" t="s">
        <v>101</v>
      </c>
      <c r="H1" s="62" t="s">
        <v>102</v>
      </c>
    </row>
    <row r="2" spans="1:8" x14ac:dyDescent="0.15">
      <c r="B2" s="60"/>
      <c r="C2" s="60"/>
      <c r="D2" s="60"/>
      <c r="E2" s="60"/>
      <c r="F2" s="60"/>
    </row>
    <row r="3" spans="1:8" x14ac:dyDescent="0.15">
      <c r="B3" s="60"/>
      <c r="C3" s="60"/>
      <c r="D3" s="60"/>
      <c r="E3" s="60"/>
      <c r="F3" s="60"/>
      <c r="G3" s="61"/>
    </row>
    <row r="4" spans="1:8" x14ac:dyDescent="0.15">
      <c r="C4" s="61"/>
      <c r="D4" s="61"/>
      <c r="F4" s="61"/>
      <c r="G4" s="61"/>
    </row>
    <row r="5" spans="1:8" x14ac:dyDescent="0.15">
      <c r="C5" s="61"/>
      <c r="D5" s="61"/>
      <c r="F5" s="61"/>
      <c r="G5" s="61"/>
    </row>
    <row r="6" spans="1:8" x14ac:dyDescent="0.15">
      <c r="C6" s="61"/>
      <c r="D6" s="61"/>
      <c r="F6" s="61"/>
      <c r="G6" s="61"/>
    </row>
    <row r="7" spans="1:8" x14ac:dyDescent="0.15">
      <c r="C7" s="61"/>
      <c r="D7" s="61"/>
      <c r="F7" s="61"/>
      <c r="G7" s="61"/>
    </row>
    <row r="8" spans="1:8" x14ac:dyDescent="0.15">
      <c r="C8" s="61"/>
      <c r="D8" s="61"/>
    </row>
    <row r="18" spans="6:6" x14ac:dyDescent="0.15">
      <c r="F18" s="61"/>
    </row>
  </sheetData>
  <mergeCells count="1">
    <mergeCell ref="B1:F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13</vt:i4>
      </vt:variant>
    </vt:vector>
  </HeadingPairs>
  <TitlesOfParts>
    <vt:vector size="17" baseType="lpstr">
      <vt:lpstr>スケジュール</vt:lpstr>
      <vt:lpstr>設定</vt:lpstr>
      <vt:lpstr>要件</vt:lpstr>
      <vt:lpstr>実績</vt:lpstr>
      <vt:lpstr>Done</vt:lpstr>
      <vt:lpstr>OnTheWay</vt:lpstr>
      <vt:lpstr>ProjectName</vt:lpstr>
      <vt:lpstr>ResultEnd</vt:lpstr>
      <vt:lpstr>ResultStart</vt:lpstr>
      <vt:lpstr>ResultWorkload</vt:lpstr>
      <vt:lpstr>SucheduleEnd</vt:lpstr>
      <vt:lpstr>SucheduleScope</vt:lpstr>
      <vt:lpstr>SucheduleStart</vt:lpstr>
      <vt:lpstr>SucheduleStartDay</vt:lpstr>
      <vt:lpstr>SucheduleWoekload</vt:lpstr>
      <vt:lpstr>休日設定表</vt:lpstr>
      <vt:lpstr>設定_予定セル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2017-08-22T14:30:17Z</dcterms:created>
  <dcterms:modified xsi:type="dcterms:W3CDTF">2018-07-30T15:42:36Z</dcterms:modified>
</cp:coreProperties>
</file>