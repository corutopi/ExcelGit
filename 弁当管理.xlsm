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ater\Desktop\"/>
    </mc:Choice>
  </mc:AlternateContent>
  <bookViews>
    <workbookView xWindow="0" yWindow="0" windowWidth="28800" windowHeight="12450"/>
  </bookViews>
  <sheets>
    <sheet name="献立表" sheetId="1" r:id="rId1"/>
    <sheet name="データ" sheetId="2" r:id="rId2"/>
    <sheet name="Sheet3" sheetId="3" r:id="rId3"/>
  </sheets>
  <functionGroups builtInGroupCount="18"/>
  <definedNames>
    <definedName name="_xlnm._FilterDatabase" localSheetId="1" hidden="1">データ!$A$1:$E$1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9" i="1" l="1"/>
  <c r="M49" i="1"/>
  <c r="L49" i="1"/>
  <c r="K49" i="1"/>
  <c r="N48" i="1"/>
  <c r="M48" i="1"/>
  <c r="L48" i="1"/>
  <c r="K48" i="1"/>
  <c r="N47" i="1"/>
  <c r="M47" i="1"/>
  <c r="L47" i="1"/>
  <c r="K47" i="1"/>
  <c r="N46" i="1"/>
  <c r="M46" i="1"/>
  <c r="L46" i="1"/>
  <c r="K46" i="1"/>
  <c r="N42" i="1"/>
  <c r="M42" i="1"/>
  <c r="L42" i="1"/>
  <c r="K42" i="1"/>
  <c r="N41" i="1"/>
  <c r="M41" i="1"/>
  <c r="L41" i="1"/>
  <c r="K41" i="1"/>
  <c r="N35" i="1"/>
  <c r="M35" i="1"/>
  <c r="L35" i="1"/>
  <c r="K35" i="1"/>
  <c r="N34" i="1"/>
  <c r="M34" i="1"/>
  <c r="L34" i="1"/>
  <c r="K34" i="1"/>
  <c r="N33" i="1"/>
  <c r="M33" i="1"/>
  <c r="L33" i="1"/>
  <c r="K33" i="1"/>
  <c r="N32" i="1"/>
  <c r="M32" i="1"/>
  <c r="L32" i="1"/>
  <c r="K32" i="1"/>
  <c r="N31" i="1"/>
  <c r="M31" i="1"/>
  <c r="L31" i="1"/>
  <c r="K31" i="1"/>
  <c r="N28" i="1"/>
  <c r="M28" i="1"/>
  <c r="L28" i="1"/>
  <c r="K28" i="1"/>
  <c r="N27" i="1"/>
  <c r="M27" i="1"/>
  <c r="L27" i="1"/>
  <c r="K27" i="1"/>
  <c r="N26" i="1"/>
  <c r="M26" i="1"/>
  <c r="L26" i="1"/>
  <c r="K26" i="1"/>
  <c r="N25" i="1"/>
  <c r="M25" i="1"/>
  <c r="L25" i="1"/>
  <c r="K25" i="1"/>
  <c r="N24" i="1"/>
  <c r="M24" i="1"/>
  <c r="L24" i="1"/>
  <c r="K24" i="1"/>
  <c r="N19" i="1"/>
  <c r="M19" i="1"/>
  <c r="L19" i="1"/>
  <c r="K19" i="1"/>
  <c r="N18" i="1"/>
  <c r="M18" i="1"/>
  <c r="L18" i="1"/>
  <c r="K18" i="1"/>
  <c r="N17" i="1"/>
  <c r="M17" i="1"/>
  <c r="L17" i="1"/>
  <c r="K17" i="1"/>
  <c r="K7" i="1"/>
  <c r="N7" i="1"/>
  <c r="M7" i="1"/>
  <c r="L7" i="1"/>
  <c r="N6" i="1"/>
  <c r="M6" i="1"/>
  <c r="L6" i="1"/>
  <c r="K6" i="1"/>
  <c r="N5" i="1"/>
  <c r="M5" i="1"/>
  <c r="L5" i="1"/>
  <c r="K5" i="1"/>
  <c r="N4" i="1"/>
  <c r="M4" i="1"/>
  <c r="L4" i="1"/>
  <c r="K4" i="1"/>
  <c r="N3" i="1"/>
  <c r="M3" i="1"/>
  <c r="L3" i="1"/>
  <c r="K3" i="1"/>
  <c r="N13" i="1"/>
  <c r="M13" i="1"/>
  <c r="L13" i="1"/>
  <c r="K13" i="1"/>
  <c r="N12" i="1"/>
  <c r="M12" i="1"/>
  <c r="L12" i="1"/>
  <c r="K12" i="1"/>
  <c r="N11" i="1"/>
  <c r="M11" i="1"/>
  <c r="L11" i="1"/>
  <c r="K11" i="1"/>
  <c r="N10" i="1"/>
  <c r="M10" i="1"/>
  <c r="L10" i="1"/>
  <c r="K10" i="1"/>
  <c r="N9" i="1"/>
  <c r="M9" i="1"/>
  <c r="L9" i="1"/>
  <c r="K9" i="1"/>
  <c r="E71" i="2"/>
  <c r="E64" i="2"/>
  <c r="E58" i="2"/>
  <c r="E35" i="2"/>
  <c r="E47" i="2"/>
  <c r="E41" i="2"/>
  <c r="E70" i="2"/>
  <c r="E63" i="2"/>
  <c r="E23" i="2"/>
  <c r="E22" i="2"/>
  <c r="E46" i="2"/>
  <c r="E9" i="2"/>
  <c r="E33" i="2"/>
  <c r="E62" i="2"/>
  <c r="E57" i="2"/>
  <c r="E4" i="2"/>
  <c r="E69" i="2"/>
  <c r="E26" i="2"/>
  <c r="E56" i="2"/>
  <c r="E49" i="2"/>
  <c r="E3" i="2"/>
  <c r="E40" i="2"/>
  <c r="E68" i="2"/>
  <c r="E61" i="2"/>
  <c r="E36" i="2"/>
  <c r="E20" i="2"/>
  <c r="E45" i="2"/>
  <c r="E7" i="2"/>
  <c r="E10" i="2"/>
  <c r="E5" i="2"/>
  <c r="E31" i="2"/>
  <c r="E25" i="2"/>
  <c r="E55" i="2"/>
  <c r="E14" i="2"/>
  <c r="E2" i="2"/>
  <c r="E15" i="2"/>
  <c r="E44" i="2"/>
  <c r="E52" i="2"/>
  <c r="E65" i="2"/>
  <c r="E11" i="2"/>
  <c r="E21" i="2"/>
  <c r="E34" i="2"/>
  <c r="E8" i="2"/>
  <c r="E67" i="2"/>
  <c r="E60" i="2"/>
  <c r="E54" i="2"/>
  <c r="E12" i="2"/>
  <c r="E18" i="2"/>
  <c r="E6" i="2"/>
  <c r="E66" i="2"/>
  <c r="E19" i="2"/>
  <c r="E51" i="2"/>
  <c r="E28" i="2"/>
  <c r="E17" i="2"/>
  <c r="E27" i="2"/>
  <c r="E29" i="2"/>
  <c r="E30" i="2"/>
  <c r="E59" i="2"/>
  <c r="E53" i="2"/>
  <c r="E48" i="2"/>
  <c r="E32" i="2"/>
  <c r="E43" i="2"/>
  <c r="E16" i="2"/>
  <c r="E50" i="2"/>
  <c r="E13" i="2"/>
  <c r="E24" i="2"/>
  <c r="E42" i="2"/>
  <c r="E39" i="2"/>
  <c r="E38" i="2"/>
  <c r="E37" i="2"/>
  <c r="L1" i="1" l="1"/>
  <c r="B60" i="1" l="1"/>
  <c r="B61" i="1"/>
  <c r="B62" i="1"/>
  <c r="B63" i="1"/>
  <c r="B64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32" i="1"/>
  <c r="B31" i="1"/>
  <c r="B30" i="1"/>
  <c r="B29" i="1"/>
  <c r="B28" i="1"/>
  <c r="B27" i="1" l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<sst xmlns="http://schemas.openxmlformats.org/spreadsheetml/2006/main" count="355" uniqueCount="206">
  <si>
    <t>弁当管理</t>
    <rPh sb="0" eb="2">
      <t>ベントウ</t>
    </rPh>
    <rPh sb="2" eb="4">
      <t>カンリ</t>
    </rPh>
    <phoneticPr fontId="1"/>
  </si>
  <si>
    <t>主菜（肉）</t>
    <rPh sb="0" eb="2">
      <t>シュサイ</t>
    </rPh>
    <rPh sb="3" eb="4">
      <t>ニク</t>
    </rPh>
    <phoneticPr fontId="1"/>
  </si>
  <si>
    <t>副菜１</t>
    <rPh sb="0" eb="2">
      <t>フクサイ</t>
    </rPh>
    <phoneticPr fontId="1"/>
  </si>
  <si>
    <t>副菜２</t>
    <rPh sb="0" eb="2">
      <t>フクサイ</t>
    </rPh>
    <phoneticPr fontId="1"/>
  </si>
  <si>
    <t>サラダ</t>
  </si>
  <si>
    <t>曜日</t>
    <rPh sb="0" eb="2">
      <t>ヨウビ</t>
    </rPh>
    <phoneticPr fontId="1"/>
  </si>
  <si>
    <t>無限キャベツ</t>
    <rPh sb="0" eb="2">
      <t>ムゲン</t>
    </rPh>
    <phoneticPr fontId="1"/>
  </si>
  <si>
    <t>備考</t>
    <rPh sb="0" eb="2">
      <t>ビコウ</t>
    </rPh>
    <phoneticPr fontId="1"/>
  </si>
  <si>
    <t>ポテトサラダ</t>
    <phoneticPr fontId="1"/>
  </si>
  <si>
    <t>コールスロー</t>
    <phoneticPr fontId="1"/>
  </si>
  <si>
    <t>Ext</t>
    <phoneticPr fontId="1"/>
  </si>
  <si>
    <t>チェリー</t>
    <phoneticPr fontId="1"/>
  </si>
  <si>
    <t>いんげん胡麻和え</t>
    <rPh sb="4" eb="6">
      <t>ゴマ</t>
    </rPh>
    <rPh sb="6" eb="7">
      <t>ア</t>
    </rPh>
    <phoneticPr fontId="1"/>
  </si>
  <si>
    <t>ベビーリーフ</t>
    <phoneticPr fontId="1"/>
  </si>
  <si>
    <t>にら卵焼き</t>
    <rPh sb="2" eb="3">
      <t>タマゴ</t>
    </rPh>
    <rPh sb="3" eb="4">
      <t>ヤ</t>
    </rPh>
    <phoneticPr fontId="1"/>
  </si>
  <si>
    <t>ジャガイモグラタン</t>
    <phoneticPr fontId="1"/>
  </si>
  <si>
    <t>タラをどうにかする</t>
    <phoneticPr fontId="1"/>
  </si>
  <si>
    <t>海の日</t>
    <rPh sb="0" eb="1">
      <t>ウミ</t>
    </rPh>
    <rPh sb="2" eb="3">
      <t>ヒ</t>
    </rPh>
    <phoneticPr fontId="1"/>
  </si>
  <si>
    <t>体育の日</t>
    <rPh sb="0" eb="2">
      <t>タイイク</t>
    </rPh>
    <rPh sb="3" eb="4">
      <t>ヒ</t>
    </rPh>
    <phoneticPr fontId="1"/>
  </si>
  <si>
    <t>https://www.kurashiru.com/recipes/8151aa7f-173a-418a-9287-efb1ab15442c</t>
    <phoneticPr fontId="1"/>
  </si>
  <si>
    <t>https://cookpad.com/recipe/3755038</t>
  </si>
  <si>
    <t>https://www.kurashiru.com/recipes/ded0d347-2d6e-4304-b19c-8e26b195efc6</t>
  </si>
  <si>
    <t>キャベツと豚肉味噌炒め</t>
    <rPh sb="5" eb="7">
      <t>ブタニク</t>
    </rPh>
    <rPh sb="7" eb="9">
      <t>ミソ</t>
    </rPh>
    <rPh sb="9" eb="10">
      <t>イタ</t>
    </rPh>
    <phoneticPr fontId="1"/>
  </si>
  <si>
    <t>https://cookpad.com/recipe/3051913</t>
  </si>
  <si>
    <t>https://www.sirogohan.com/recipe/gomaaeingen/</t>
  </si>
  <si>
    <t>https://www.lettuceclub.net/recipe/dish/21817/</t>
  </si>
  <si>
    <t>https://www.kurashiru.com/recipes/65cc8e11-3eab-491f-8745-c89fe560c0b3</t>
  </si>
  <si>
    <t>-</t>
    <phoneticPr fontId="1"/>
  </si>
  <si>
    <t>-</t>
    <phoneticPr fontId="1"/>
  </si>
  <si>
    <t>インゲンとニラをどうにかする</t>
    <phoneticPr fontId="1"/>
  </si>
  <si>
    <t>https://delishkitchen.tv/recipes/138644772133798387</t>
  </si>
  <si>
    <t>FLG</t>
    <phoneticPr fontId="1"/>
  </si>
  <si>
    <t>タラのムニエル</t>
    <phoneticPr fontId="1"/>
  </si>
  <si>
    <t>インゲンチーズ巻き</t>
    <rPh sb="7" eb="8">
      <t>マ</t>
    </rPh>
    <phoneticPr fontId="1"/>
  </si>
  <si>
    <t>https://www.kikkoman.co.jp/homecook/search/recipe/00003460/index.html</t>
  </si>
  <si>
    <t>クルトンサラダ</t>
    <phoneticPr fontId="1"/>
  </si>
  <si>
    <t>-</t>
    <phoneticPr fontId="1"/>
  </si>
  <si>
    <t>ベビーリーフ&amp;レタス</t>
    <phoneticPr fontId="1"/>
  </si>
  <si>
    <t>https://erecipe.woman.excite.co.jp/detail/085b34985b5996cae86a5845741cb9ad.html</t>
  </si>
  <si>
    <t>エビニラ玉</t>
    <rPh sb="4" eb="5">
      <t>タマ</t>
    </rPh>
    <phoneticPr fontId="1"/>
  </si>
  <si>
    <t>マカロニサラダ</t>
    <phoneticPr fontId="1"/>
  </si>
  <si>
    <t>玉ねぎ麺つゆ和え</t>
    <rPh sb="0" eb="1">
      <t>タマ</t>
    </rPh>
    <rPh sb="3" eb="4">
      <t>メン</t>
    </rPh>
    <rPh sb="6" eb="7">
      <t>ア</t>
    </rPh>
    <phoneticPr fontId="1"/>
  </si>
  <si>
    <t>https://erecipe.woman.excite.co.jp/detail/fde8f563a0aef69c2a9ba45f208fb747.html</t>
  </si>
  <si>
    <t>（冷食）</t>
    <rPh sb="1" eb="3">
      <t>レイショク</t>
    </rPh>
    <phoneticPr fontId="1"/>
  </si>
  <si>
    <t>ささみ照り焼き</t>
    <rPh sb="3" eb="4">
      <t>テ</t>
    </rPh>
    <rPh sb="5" eb="6">
      <t>ヤ</t>
    </rPh>
    <phoneticPr fontId="1"/>
  </si>
  <si>
    <t>ささみ梅チーズ</t>
    <rPh sb="3" eb="4">
      <t>ウメ</t>
    </rPh>
    <phoneticPr fontId="1"/>
  </si>
  <si>
    <t>鶏モモマヨポン酢</t>
    <rPh sb="0" eb="1">
      <t>トリ</t>
    </rPh>
    <rPh sb="7" eb="8">
      <t>ズ</t>
    </rPh>
    <phoneticPr fontId="1"/>
  </si>
  <si>
    <t>https://recipe.rakuten.co.jp/recipe/1350003354/</t>
  </si>
  <si>
    <t>https://oceans-nadia.com/user/10816/recipe/147841</t>
  </si>
  <si>
    <t>鶏モモマスタード焼き</t>
    <rPh sb="0" eb="1">
      <t>トリ</t>
    </rPh>
    <rPh sb="8" eb="9">
      <t>ヤ</t>
    </rPh>
    <phoneticPr fontId="1"/>
  </si>
  <si>
    <t>https://cookpad.com/recipe/1035743</t>
  </si>
  <si>
    <t>鶏モモチャーシュー</t>
    <rPh sb="0" eb="1">
      <t>トリ</t>
    </rPh>
    <phoneticPr fontId="1"/>
  </si>
  <si>
    <t>ウィンナーサラダ</t>
    <phoneticPr fontId="1"/>
  </si>
  <si>
    <t>豚ニラもやし</t>
    <rPh sb="0" eb="1">
      <t>ブタ</t>
    </rPh>
    <phoneticPr fontId="1"/>
  </si>
  <si>
    <t>人参明太子</t>
    <rPh sb="0" eb="2">
      <t>ニンジン</t>
    </rPh>
    <rPh sb="2" eb="5">
      <t>メンタイコ</t>
    </rPh>
    <phoneticPr fontId="1"/>
  </si>
  <si>
    <t>インゲンおかかマヨ和え</t>
    <rPh sb="9" eb="10">
      <t>ア</t>
    </rPh>
    <phoneticPr fontId="1"/>
  </si>
  <si>
    <t>桃</t>
    <rPh sb="0" eb="1">
      <t>モモ</t>
    </rPh>
    <phoneticPr fontId="1"/>
  </si>
  <si>
    <t>枝豆卵焼き</t>
    <rPh sb="0" eb="2">
      <t>エダマメ</t>
    </rPh>
    <rPh sb="2" eb="4">
      <t>タマゴヤ</t>
    </rPh>
    <phoneticPr fontId="1"/>
  </si>
  <si>
    <t>-</t>
    <phoneticPr fontId="1"/>
  </si>
  <si>
    <t>-</t>
    <phoneticPr fontId="1"/>
  </si>
  <si>
    <t>茹で卵サラダ</t>
    <rPh sb="0" eb="1">
      <t>ユ</t>
    </rPh>
    <rPh sb="2" eb="3">
      <t>タマゴ</t>
    </rPh>
    <phoneticPr fontId="1"/>
  </si>
  <si>
    <t>-</t>
    <phoneticPr fontId="1"/>
  </si>
  <si>
    <t>えびピラフ</t>
  </si>
  <si>
    <t>https://delishkitchen.tv/recipes/136186547786482049</t>
  </si>
  <si>
    <t>(冷食)</t>
    <rPh sb="1" eb="3">
      <t>レイショク</t>
    </rPh>
    <phoneticPr fontId="1"/>
  </si>
  <si>
    <t>マカロニサラダ</t>
    <phoneticPr fontId="1"/>
  </si>
  <si>
    <t>https://www.kewpie.co.jp/recipes/basicsalad/salad02/</t>
    <phoneticPr fontId="1"/>
  </si>
  <si>
    <t>枝豆卵焼き</t>
    <rPh sb="0" eb="4">
      <t>エダマメタマゴヤ</t>
    </rPh>
    <phoneticPr fontId="1"/>
  </si>
  <si>
    <t>https://oceans-nadia.com/user/196104/recipe/376279</t>
  </si>
  <si>
    <t>https://recipe.shidax.co.jp/recipe/detail/112</t>
  </si>
  <si>
    <t>ささみ梅しそチーズ</t>
    <rPh sb="3" eb="4">
      <t>ウメ</t>
    </rPh>
    <phoneticPr fontId="1"/>
  </si>
  <si>
    <t>玉ねぎグラタン</t>
    <rPh sb="0" eb="1">
      <t>タマ</t>
    </rPh>
    <phoneticPr fontId="1"/>
  </si>
  <si>
    <t>https://cookpad.com/recipe/1835031</t>
  </si>
  <si>
    <t>玉ねぎ味噌炒め</t>
    <rPh sb="0" eb="1">
      <t>タマ</t>
    </rPh>
    <rPh sb="3" eb="5">
      <t>ミソ</t>
    </rPh>
    <rPh sb="5" eb="6">
      <t>イタ</t>
    </rPh>
    <phoneticPr fontId="1"/>
  </si>
  <si>
    <t>https://cookpad.com/recipe/3742383</t>
  </si>
  <si>
    <t>ゆで卵サラダ</t>
    <rPh sb="2" eb="3">
      <t>タマゴ</t>
    </rPh>
    <phoneticPr fontId="1"/>
  </si>
  <si>
    <t>豚肉照り焼き炒め</t>
    <rPh sb="0" eb="2">
      <t>ブタニク</t>
    </rPh>
    <rPh sb="2" eb="3">
      <t>テ</t>
    </rPh>
    <rPh sb="4" eb="5">
      <t>ヤ</t>
    </rPh>
    <rPh sb="6" eb="7">
      <t>イタ</t>
    </rPh>
    <phoneticPr fontId="1"/>
  </si>
  <si>
    <t>https://cookpad.com/recipe/1924454</t>
  </si>
  <si>
    <t>ニラ卵焼き</t>
    <rPh sb="2" eb="4">
      <t>タマゴヤ</t>
    </rPh>
    <phoneticPr fontId="1"/>
  </si>
  <si>
    <t>ジャガイモグラタン</t>
    <phoneticPr fontId="1"/>
  </si>
  <si>
    <t>いんげん胡麻和え</t>
    <rPh sb="4" eb="6">
      <t>ゴマ</t>
    </rPh>
    <rPh sb="6" eb="7">
      <t>ア</t>
    </rPh>
    <phoneticPr fontId="1"/>
  </si>
  <si>
    <t>キャベツ豚味噌炒め</t>
    <rPh sb="4" eb="5">
      <t>ブタ</t>
    </rPh>
    <rPh sb="5" eb="7">
      <t>ミソ</t>
    </rPh>
    <rPh sb="7" eb="8">
      <t>イタ</t>
    </rPh>
    <phoneticPr fontId="1"/>
  </si>
  <si>
    <t>無限キャベツ</t>
    <rPh sb="0" eb="2">
      <t>ムゲン</t>
    </rPh>
    <phoneticPr fontId="1"/>
  </si>
  <si>
    <t>https://daidokolog.pal-system.co.jp/recipe/318</t>
    <phoneticPr fontId="1"/>
  </si>
  <si>
    <t>インゲンおかかマヨ</t>
    <phoneticPr fontId="1"/>
  </si>
  <si>
    <t>エビニラ炒め</t>
    <rPh sb="4" eb="5">
      <t>イタ</t>
    </rPh>
    <phoneticPr fontId="1"/>
  </si>
  <si>
    <t>URL</t>
  </si>
  <si>
    <t>(冷食)</t>
    <rPh sb="1" eb="3">
      <t>レイショク</t>
    </rPh>
    <phoneticPr fontId="1"/>
  </si>
  <si>
    <t>ハムサラダ</t>
    <phoneticPr fontId="1"/>
  </si>
  <si>
    <t>チーズ卵焼き</t>
    <rPh sb="3" eb="5">
      <t>タマゴヤ</t>
    </rPh>
    <phoneticPr fontId="1"/>
  </si>
  <si>
    <t>https://recipe.rakuten.co.jp/recipe/1170005693/</t>
    <phoneticPr fontId="1"/>
  </si>
  <si>
    <t>https://delishkitchen.tv/recipes/135175461851365761</t>
  </si>
  <si>
    <t>ジャガイモベーコン巻き</t>
    <rPh sb="9" eb="10">
      <t>マ</t>
    </rPh>
    <phoneticPr fontId="1"/>
  </si>
  <si>
    <t>ブロッコリーサラダ</t>
    <phoneticPr fontId="1"/>
  </si>
  <si>
    <t>きゅうりとツナのサラダ</t>
    <phoneticPr fontId="1"/>
  </si>
  <si>
    <t>名称</t>
    <rPh sb="0" eb="2">
      <t>メイショウ</t>
    </rPh>
    <phoneticPr fontId="1"/>
  </si>
  <si>
    <t>リンク</t>
    <phoneticPr fontId="1"/>
  </si>
  <si>
    <t>https://recipe.rakuten.co.jp/recipe/1370011990/</t>
  </si>
  <si>
    <t>豚肉ピーマンオイスターソース</t>
    <rPh sb="0" eb="2">
      <t>ブタニク</t>
    </rPh>
    <phoneticPr fontId="1"/>
  </si>
  <si>
    <t>(ピラフ)</t>
    <phoneticPr fontId="1"/>
  </si>
  <si>
    <t>クルトンサラダ</t>
    <phoneticPr fontId="1"/>
  </si>
  <si>
    <t>https://cookpad.com/recipe/2398093</t>
  </si>
  <si>
    <t>鶏むね肉サッパリ煮</t>
    <rPh sb="0" eb="1">
      <t>トリ</t>
    </rPh>
    <rPh sb="3" eb="4">
      <t>ニク</t>
    </rPh>
    <rPh sb="8" eb="9">
      <t>ニ</t>
    </rPh>
    <phoneticPr fontId="1"/>
  </si>
  <si>
    <t>ジャガイモグラタン</t>
    <phoneticPr fontId="1"/>
  </si>
  <si>
    <t>魚使ってく</t>
    <rPh sb="0" eb="1">
      <t>サカナ</t>
    </rPh>
    <rPh sb="1" eb="2">
      <t>ツカ</t>
    </rPh>
    <phoneticPr fontId="1"/>
  </si>
  <si>
    <t>FLG</t>
  </si>
  <si>
    <t>ハムサラダ</t>
    <phoneticPr fontId="1"/>
  </si>
  <si>
    <t>きゅうりとツナのサラダ</t>
    <phoneticPr fontId="1"/>
  </si>
  <si>
    <t>クルトンサラダ</t>
    <phoneticPr fontId="1"/>
  </si>
  <si>
    <t>コールスローサラダ</t>
    <phoneticPr fontId="1"/>
  </si>
  <si>
    <t>エビアボカドサラダ</t>
    <phoneticPr fontId="1"/>
  </si>
  <si>
    <t>ゆで卵サラダ</t>
    <rPh sb="2" eb="3">
      <t>タマゴ</t>
    </rPh>
    <phoneticPr fontId="1"/>
  </si>
  <si>
    <t>じゃこサラダ</t>
    <phoneticPr fontId="1"/>
  </si>
  <si>
    <t>ポテトサラダ</t>
    <phoneticPr fontId="1"/>
  </si>
  <si>
    <t>ウィンナーサラダ</t>
    <phoneticPr fontId="1"/>
  </si>
  <si>
    <t>レタスサラダ</t>
    <phoneticPr fontId="1"/>
  </si>
  <si>
    <t>チキンサラダ</t>
    <phoneticPr fontId="1"/>
  </si>
  <si>
    <t>主菜</t>
    <rPh sb="0" eb="2">
      <t>シュサイ</t>
    </rPh>
    <phoneticPr fontId="1"/>
  </si>
  <si>
    <t>副菜</t>
    <rPh sb="0" eb="2">
      <t>フクサイ</t>
    </rPh>
    <phoneticPr fontId="1"/>
  </si>
  <si>
    <t>米</t>
    <rPh sb="0" eb="1">
      <t>コメ</t>
    </rPh>
    <phoneticPr fontId="1"/>
  </si>
  <si>
    <t>サラダ</t>
    <phoneticPr fontId="1"/>
  </si>
  <si>
    <t>ベーコンサラダ</t>
    <phoneticPr fontId="1"/>
  </si>
  <si>
    <t>焼きウィンナー</t>
    <rPh sb="0" eb="1">
      <t>ヤ</t>
    </rPh>
    <phoneticPr fontId="1"/>
  </si>
  <si>
    <t>ハンバーグ</t>
    <phoneticPr fontId="1"/>
  </si>
  <si>
    <t>人参しりしり</t>
    <rPh sb="0" eb="2">
      <t>ニンジン</t>
    </rPh>
    <phoneticPr fontId="1"/>
  </si>
  <si>
    <t>厚揚げゴマ照り焼き</t>
    <rPh sb="0" eb="2">
      <t>アツア</t>
    </rPh>
    <rPh sb="5" eb="6">
      <t>テ</t>
    </rPh>
    <rPh sb="7" eb="8">
      <t>ヤ</t>
    </rPh>
    <phoneticPr fontId="1"/>
  </si>
  <si>
    <t>https://cookpad.com/recipe/2986341</t>
  </si>
  <si>
    <t>https://recipe.rakuten.co.jp/recipe/1340001099/</t>
  </si>
  <si>
    <t>油揚げと青梗菜オイスターソース</t>
    <rPh sb="0" eb="2">
      <t>アブラア</t>
    </rPh>
    <rPh sb="4" eb="7">
      <t>チンゲンサイ</t>
    </rPh>
    <phoneticPr fontId="1"/>
  </si>
  <si>
    <t>しめじバターポン酢</t>
    <rPh sb="8" eb="9">
      <t>ズ</t>
    </rPh>
    <phoneticPr fontId="1"/>
  </si>
  <si>
    <t>https://recipe.shidax.co.jp/recipe/outline/241</t>
  </si>
  <si>
    <t>https://recipe.rakuten.co.jp/recipe/1850008421/?l-id=recipe_list_detail_recipe</t>
  </si>
  <si>
    <t>ピーマンしめじ胡麻和え</t>
    <rPh sb="7" eb="9">
      <t>ゴマ</t>
    </rPh>
    <rPh sb="9" eb="10">
      <t>ア</t>
    </rPh>
    <phoneticPr fontId="1"/>
  </si>
  <si>
    <t>だし巻き卵</t>
    <rPh sb="2" eb="3">
      <t>マ</t>
    </rPh>
    <rPh sb="4" eb="5">
      <t>タマゴ</t>
    </rPh>
    <phoneticPr fontId="1"/>
  </si>
  <si>
    <t>卵サラダ</t>
    <rPh sb="0" eb="1">
      <t>タマゴ</t>
    </rPh>
    <phoneticPr fontId="1"/>
  </si>
  <si>
    <t>FLG</t>
    <phoneticPr fontId="1"/>
  </si>
  <si>
    <t>山の日</t>
    <rPh sb="0" eb="1">
      <t>ヤマ</t>
    </rPh>
    <rPh sb="2" eb="3">
      <t>ヒ</t>
    </rPh>
    <phoneticPr fontId="1"/>
  </si>
  <si>
    <t>(冷食)</t>
    <rPh sb="1" eb="3">
      <t>レイショク</t>
    </rPh>
    <phoneticPr fontId="1"/>
  </si>
  <si>
    <t>ベーコン卵焼き</t>
    <rPh sb="4" eb="6">
      <t>タマゴヤ</t>
    </rPh>
    <phoneticPr fontId="1"/>
  </si>
  <si>
    <t>ピーマンおかか和え</t>
    <rPh sb="7" eb="8">
      <t>ア</t>
    </rPh>
    <phoneticPr fontId="1"/>
  </si>
  <si>
    <t>https://oceans-nadia.com/user/22780/recipe/375032</t>
  </si>
  <si>
    <t>https://cookpad.com/recipe/614608</t>
  </si>
  <si>
    <t>副菜３orサラダ</t>
    <rPh sb="0" eb="2">
      <t>フクサイ</t>
    </rPh>
    <phoneticPr fontId="1"/>
  </si>
  <si>
    <t>じゃこサラダ</t>
    <phoneticPr fontId="1"/>
  </si>
  <si>
    <t>鶏むねケチャップ炒め</t>
    <rPh sb="0" eb="1">
      <t>トリ</t>
    </rPh>
    <rPh sb="8" eb="9">
      <t>イタ</t>
    </rPh>
    <phoneticPr fontId="1"/>
  </si>
  <si>
    <t>https://cookpad.com/recipe/1828106</t>
  </si>
  <si>
    <t>鶏むねうま塩チキン</t>
    <rPh sb="0" eb="1">
      <t>トリ</t>
    </rPh>
    <rPh sb="5" eb="6">
      <t>シオ</t>
    </rPh>
    <phoneticPr fontId="1"/>
  </si>
  <si>
    <t>http://yuu-stylish-bar.blog.jp/archives/1073705429.html</t>
  </si>
  <si>
    <t>鶏むね味噌マヨ焼き</t>
    <rPh sb="0" eb="1">
      <t>トリ</t>
    </rPh>
    <rPh sb="3" eb="5">
      <t>ミソ</t>
    </rPh>
    <rPh sb="7" eb="8">
      <t>ヤ</t>
    </rPh>
    <phoneticPr fontId="1"/>
  </si>
  <si>
    <t>https://recipe.rakuten.co.jp/recipe/1070031681/</t>
  </si>
  <si>
    <t>http://www.lettuceclub.net/recipe/dish/19268/</t>
  </si>
  <si>
    <t>豚ひき肉ネギ味噌つくね</t>
    <rPh sb="0" eb="1">
      <t>ブタ</t>
    </rPh>
    <rPh sb="3" eb="4">
      <t>ニク</t>
    </rPh>
    <rPh sb="6" eb="8">
      <t>ミソ</t>
    </rPh>
    <phoneticPr fontId="1"/>
  </si>
  <si>
    <t>https://oceans-nadia.com/user/14996/recipe/115977</t>
  </si>
  <si>
    <t>主菜</t>
    <rPh sb="0" eb="2">
      <t>シュサイ</t>
    </rPh>
    <phoneticPr fontId="1"/>
  </si>
  <si>
    <t>ジャガイモとコーンのチヂミ</t>
    <phoneticPr fontId="1"/>
  </si>
  <si>
    <t>https://hugkum.sho.jp/61262</t>
  </si>
  <si>
    <t>ジャガイモマッシュポテト</t>
  </si>
  <si>
    <t>ジャガイモマッシュポテト</t>
    <phoneticPr fontId="1"/>
  </si>
  <si>
    <t>https://erecipe.woman.excite.co.jp/detail/31accf72b2a9321a816ed603e30e89c4.html</t>
  </si>
  <si>
    <t>ジャガイモたらこ炒め</t>
    <rPh sb="8" eb="9">
      <t>イタ</t>
    </rPh>
    <phoneticPr fontId="1"/>
  </si>
  <si>
    <t>ジャガイモカレー炒め</t>
    <rPh sb="8" eb="9">
      <t>イタ</t>
    </rPh>
    <phoneticPr fontId="1"/>
  </si>
  <si>
    <t>https://www.youtube.com/watch?v=jq5Ewvv3iXI</t>
  </si>
  <si>
    <t>ジャガイモ麺つゆバター煮</t>
    <rPh sb="5" eb="6">
      <t>メン</t>
    </rPh>
    <rPh sb="11" eb="12">
      <t>ニ</t>
    </rPh>
    <phoneticPr fontId="1"/>
  </si>
  <si>
    <t>https://oceans-nadia.com/user/22780/recipe/244747</t>
  </si>
  <si>
    <t>コーンサラダ</t>
  </si>
  <si>
    <t>コーンサラダ</t>
    <phoneticPr fontId="1"/>
  </si>
  <si>
    <t>https://oceans-nadia.com/user/21965/recipe/191133</t>
  </si>
  <si>
    <t>人参コーンコンソメ炒め</t>
    <rPh sb="0" eb="2">
      <t>ニンジン</t>
    </rPh>
    <rPh sb="9" eb="10">
      <t>イタ</t>
    </rPh>
    <phoneticPr fontId="1"/>
  </si>
  <si>
    <t>ナス照り焼き</t>
    <rPh sb="2" eb="3">
      <t>テ</t>
    </rPh>
    <rPh sb="4" eb="5">
      <t>ヤ</t>
    </rPh>
    <phoneticPr fontId="1"/>
  </si>
  <si>
    <t>ナスのきんぴら</t>
    <phoneticPr fontId="1"/>
  </si>
  <si>
    <t>https://cookpad.com/recipe/1191363</t>
  </si>
  <si>
    <t>https://delishkitchen.tv/recipes/146145683223609818</t>
  </si>
  <si>
    <t>FLG</t>
    <phoneticPr fontId="1"/>
  </si>
  <si>
    <t>natsu</t>
    <phoneticPr fontId="1"/>
  </si>
  <si>
    <t>https://cookpad.com/recipe/2962989</t>
  </si>
  <si>
    <t>豆苗と豚バラのうま味炒め</t>
    <rPh sb="0" eb="2">
      <t>トウミョウ</t>
    </rPh>
    <rPh sb="3" eb="4">
      <t>ブタ</t>
    </rPh>
    <rPh sb="9" eb="10">
      <t>ミ</t>
    </rPh>
    <rPh sb="10" eb="11">
      <t>イタ</t>
    </rPh>
    <phoneticPr fontId="1"/>
  </si>
  <si>
    <t>FLG</t>
    <phoneticPr fontId="1"/>
  </si>
  <si>
    <t>ほうれん草のお浸し</t>
    <rPh sb="4" eb="5">
      <t>ソウ</t>
    </rPh>
    <rPh sb="7" eb="8">
      <t>ヒタ</t>
    </rPh>
    <phoneticPr fontId="1"/>
  </si>
  <si>
    <t>https://www.sirogohan.com/recipe/ohitasi/</t>
  </si>
  <si>
    <t>ゆで卵サラダ</t>
    <rPh sb="2" eb="3">
      <t>タマゴ</t>
    </rPh>
    <phoneticPr fontId="1"/>
  </si>
  <si>
    <t>ベビーリーフ</t>
    <phoneticPr fontId="1"/>
  </si>
  <si>
    <t>https://cookpad.com/recipe/1605247</t>
  </si>
  <si>
    <t>ほうれん草コーンバター炒め</t>
    <rPh sb="4" eb="5">
      <t>ソウ</t>
    </rPh>
    <rPh sb="11" eb="12">
      <t>イタ</t>
    </rPh>
    <phoneticPr fontId="1"/>
  </si>
  <si>
    <t>(冷食)</t>
    <rPh sb="1" eb="3">
      <t>レイショク</t>
    </rPh>
    <phoneticPr fontId="1"/>
  </si>
  <si>
    <t>だし巻き卵</t>
    <rPh sb="2" eb="3">
      <t>マ</t>
    </rPh>
    <rPh sb="4" eb="5">
      <t>タマゴ</t>
    </rPh>
    <phoneticPr fontId="1"/>
  </si>
  <si>
    <t>ナス煮びたし</t>
    <rPh sb="2" eb="3">
      <t>ニ</t>
    </rPh>
    <phoneticPr fontId="1"/>
  </si>
  <si>
    <t>梅しそ鶏ハム</t>
    <rPh sb="0" eb="1">
      <t>ウメ</t>
    </rPh>
    <rPh sb="3" eb="4">
      <t>トリ</t>
    </rPh>
    <phoneticPr fontId="1"/>
  </si>
  <si>
    <t>豆苗サラダ</t>
    <rPh sb="0" eb="2">
      <t>トウミョウ</t>
    </rPh>
    <phoneticPr fontId="1"/>
  </si>
  <si>
    <t>豆苗やみつきサラダ</t>
    <rPh sb="0" eb="2">
      <t>トウミョウ</t>
    </rPh>
    <phoneticPr fontId="1"/>
  </si>
  <si>
    <t>https://oceans-nadia.com/user/22084/recipe/146462</t>
  </si>
  <si>
    <t>分類</t>
    <rPh sb="0" eb="2">
      <t>ブンルイ</t>
    </rPh>
    <phoneticPr fontId="1"/>
  </si>
  <si>
    <t>人参しりしり</t>
    <rPh sb="0" eb="2">
      <t>ニンジン</t>
    </rPh>
    <phoneticPr fontId="1"/>
  </si>
  <si>
    <t>natsu</t>
    <phoneticPr fontId="1"/>
  </si>
  <si>
    <t>？？？</t>
    <phoneticPr fontId="1"/>
  </si>
  <si>
    <t>https://cookpad.com/recipe/389864</t>
  </si>
  <si>
    <t>なすの生姜醤油</t>
    <rPh sb="3" eb="5">
      <t>ショウガ</t>
    </rPh>
    <rPh sb="5" eb="7">
      <t>ジョウユ</t>
    </rPh>
    <phoneticPr fontId="1"/>
  </si>
  <si>
    <t>https://daidokolog.pal-system.co.jp/recipe/3310</t>
  </si>
  <si>
    <t>豆苗サラダ</t>
    <rPh sb="0" eb="2">
      <t>トウミョウ</t>
    </rPh>
    <phoneticPr fontId="1"/>
  </si>
  <si>
    <t>https://twitter.com/igarashi_yukari/status/1256147863194578945</t>
  </si>
  <si>
    <t>なすの焼肉</t>
    <rPh sb="3" eb="5">
      <t>ヤキニク</t>
    </rPh>
    <phoneticPr fontId="1"/>
  </si>
  <si>
    <t>・プルダウンメニュー選択できるようにする</t>
    <rPh sb="10" eb="12">
      <t>センタク</t>
    </rPh>
    <phoneticPr fontId="1"/>
  </si>
  <si>
    <t>・メニュー候補を出せるようにする（フォーム？</t>
    <rPh sb="5" eb="7">
      <t>コウホ</t>
    </rPh>
    <rPh sb="8" eb="9">
      <t>ダ</t>
    </rPh>
    <phoneticPr fontId="1"/>
  </si>
  <si>
    <t>鶏むね梅チーズハム</t>
    <rPh sb="0" eb="1">
      <t>トリ</t>
    </rPh>
    <rPh sb="3" eb="4">
      <t>ウメ</t>
    </rPh>
    <phoneticPr fontId="1"/>
  </si>
  <si>
    <t>https://cookpad.com/recipe/4711892</t>
  </si>
  <si>
    <t>最近作った日</t>
    <rPh sb="0" eb="2">
      <t>サイキン</t>
    </rPh>
    <rPh sb="2" eb="3">
      <t>ツク</t>
    </rPh>
    <rPh sb="5" eb="6">
      <t>ヒ</t>
    </rPh>
    <phoneticPr fontId="1"/>
  </si>
  <si>
    <t>ブロッコリーサラダ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</si>
</sst>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u/>
      <sz val="11"/>
      <color theme="10"/>
      <name val="ＭＳ ゴシック"/>
      <family val="2"/>
      <charset val="128"/>
    </font>
    <font>
      <b/>
      <sz val="11"/>
      <color theme="1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0" fontId="3" fillId="2" borderId="1" xfId="0" applyFont="1" applyFill="1" applyBorder="1">
      <alignment vertical="center"/>
    </xf>
    <xf numFmtId="0" fontId="2" fillId="0" borderId="0" xfId="1">
      <alignment vertical="center"/>
    </xf>
    <xf numFmtId="0" fontId="0" fillId="0" borderId="0" xfId="0" applyBorder="1">
      <alignment vertical="center"/>
    </xf>
    <xf numFmtId="14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2" fillId="0" borderId="1" xfId="1" applyBorder="1">
      <alignment vertical="center"/>
    </xf>
    <xf numFmtId="14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10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cookpad.com/recipe/1924454" TargetMode="External"/><Relationship Id="rId18" Type="http://schemas.openxmlformats.org/officeDocument/2006/relationships/hyperlink" Target="https://cookpad.com/recipe/3051913" TargetMode="External"/><Relationship Id="rId26" Type="http://schemas.openxmlformats.org/officeDocument/2006/relationships/hyperlink" Target="https://cookpad.com/recipe/2398093" TargetMode="External"/><Relationship Id="rId39" Type="http://schemas.openxmlformats.org/officeDocument/2006/relationships/hyperlink" Target="https://hugkum.sho.jp/61262" TargetMode="External"/><Relationship Id="rId3" Type="http://schemas.openxmlformats.org/officeDocument/2006/relationships/hyperlink" Target="https://cookpad.com/recipe/1035743" TargetMode="External"/><Relationship Id="rId21" Type="http://schemas.openxmlformats.org/officeDocument/2006/relationships/hyperlink" Target="https://daidokolog.pal-system.co.jp/recipe/318" TargetMode="External"/><Relationship Id="rId34" Type="http://schemas.openxmlformats.org/officeDocument/2006/relationships/hyperlink" Target="http://yuu-stylish-bar.blog.jp/archives/1073705429.html" TargetMode="External"/><Relationship Id="rId42" Type="http://schemas.openxmlformats.org/officeDocument/2006/relationships/hyperlink" Target="https://oceans-nadia.com/user/22780/recipe/244747" TargetMode="External"/><Relationship Id="rId47" Type="http://schemas.openxmlformats.org/officeDocument/2006/relationships/hyperlink" Target="https://www.sirogohan.com/recipe/ohitasi/" TargetMode="External"/><Relationship Id="rId50" Type="http://schemas.openxmlformats.org/officeDocument/2006/relationships/hyperlink" Target="https://cookpad.com/recipe/389864" TargetMode="External"/><Relationship Id="rId7" Type="http://schemas.openxmlformats.org/officeDocument/2006/relationships/hyperlink" Target="https://delishkitchen.tv/recipes/136186547786482049" TargetMode="External"/><Relationship Id="rId12" Type="http://schemas.openxmlformats.org/officeDocument/2006/relationships/hyperlink" Target="https://cookpad.com/recipe/3742383" TargetMode="External"/><Relationship Id="rId17" Type="http://schemas.openxmlformats.org/officeDocument/2006/relationships/hyperlink" Target="https://www.sirogohan.com/recipe/gomaaeingen/" TargetMode="External"/><Relationship Id="rId25" Type="http://schemas.openxmlformats.org/officeDocument/2006/relationships/hyperlink" Target="https://recipe.rakuten.co.jp/recipe/1370011990/" TargetMode="External"/><Relationship Id="rId33" Type="http://schemas.openxmlformats.org/officeDocument/2006/relationships/hyperlink" Target="https://cookpad.com/recipe/1828106" TargetMode="External"/><Relationship Id="rId38" Type="http://schemas.openxmlformats.org/officeDocument/2006/relationships/hyperlink" Target="https://hugkum.sho.jp/61262" TargetMode="External"/><Relationship Id="rId46" Type="http://schemas.openxmlformats.org/officeDocument/2006/relationships/hyperlink" Target="https://cookpad.com/recipe/2962989" TargetMode="External"/><Relationship Id="rId2" Type="http://schemas.openxmlformats.org/officeDocument/2006/relationships/hyperlink" Target="https://oceans-nadia.com/user/10816/recipe/147841" TargetMode="External"/><Relationship Id="rId16" Type="http://schemas.openxmlformats.org/officeDocument/2006/relationships/hyperlink" Target="https://cookpad.com/recipe/3755038" TargetMode="External"/><Relationship Id="rId20" Type="http://schemas.openxmlformats.org/officeDocument/2006/relationships/hyperlink" Target="https://delishkitchen.tv/recipes/138644772133798387" TargetMode="External"/><Relationship Id="rId29" Type="http://schemas.openxmlformats.org/officeDocument/2006/relationships/hyperlink" Target="https://recipe.shidax.co.jp/recipe/outline/241" TargetMode="External"/><Relationship Id="rId41" Type="http://schemas.openxmlformats.org/officeDocument/2006/relationships/hyperlink" Target="https://www.youtube.com/watch?v=jq5Ewvv3iXI" TargetMode="External"/><Relationship Id="rId54" Type="http://schemas.openxmlformats.org/officeDocument/2006/relationships/printerSettings" Target="../printerSettings/printerSettings2.bin"/><Relationship Id="rId1" Type="http://schemas.openxmlformats.org/officeDocument/2006/relationships/hyperlink" Target="https://recipe.rakuten.co.jp/recipe/1350003354/" TargetMode="External"/><Relationship Id="rId6" Type="http://schemas.openxmlformats.org/officeDocument/2006/relationships/hyperlink" Target="https://www.lettuceclub.net/recipe/dish/21817/" TargetMode="External"/><Relationship Id="rId11" Type="http://schemas.openxmlformats.org/officeDocument/2006/relationships/hyperlink" Target="https://cookpad.com/recipe/1835031" TargetMode="External"/><Relationship Id="rId24" Type="http://schemas.openxmlformats.org/officeDocument/2006/relationships/hyperlink" Target="https://delishkitchen.tv/recipes/135175461851365761" TargetMode="External"/><Relationship Id="rId32" Type="http://schemas.openxmlformats.org/officeDocument/2006/relationships/hyperlink" Target="https://cookpad.com/recipe/614608" TargetMode="External"/><Relationship Id="rId37" Type="http://schemas.openxmlformats.org/officeDocument/2006/relationships/hyperlink" Target="https://oceans-nadia.com/user/14996/recipe/115977" TargetMode="External"/><Relationship Id="rId40" Type="http://schemas.openxmlformats.org/officeDocument/2006/relationships/hyperlink" Target="https://erecipe.woman.excite.co.jp/detail/31accf72b2a9321a816ed603e30e89c4.html" TargetMode="External"/><Relationship Id="rId45" Type="http://schemas.openxmlformats.org/officeDocument/2006/relationships/hyperlink" Target="https://delishkitchen.tv/recipes/146145683223609818" TargetMode="External"/><Relationship Id="rId53" Type="http://schemas.openxmlformats.org/officeDocument/2006/relationships/hyperlink" Target="https://cookpad.com/recipe/4711892" TargetMode="External"/><Relationship Id="rId5" Type="http://schemas.openxmlformats.org/officeDocument/2006/relationships/hyperlink" Target="https://erecipe.woman.excite.co.jp/detail/fde8f563a0aef69c2a9ba45f208fb747.html" TargetMode="External"/><Relationship Id="rId15" Type="http://schemas.openxmlformats.org/officeDocument/2006/relationships/hyperlink" Target="https://www.kurashiru.com/recipes/8151aa7f-173a-418a-9287-efb1ab15442c" TargetMode="External"/><Relationship Id="rId23" Type="http://schemas.openxmlformats.org/officeDocument/2006/relationships/hyperlink" Target="https://recipe.rakuten.co.jp/recipe/1170005693/" TargetMode="External"/><Relationship Id="rId28" Type="http://schemas.openxmlformats.org/officeDocument/2006/relationships/hyperlink" Target="https://recipe.rakuten.co.jp/recipe/1340001099/" TargetMode="External"/><Relationship Id="rId36" Type="http://schemas.openxmlformats.org/officeDocument/2006/relationships/hyperlink" Target="http://www.lettuceclub.net/recipe/dish/19268/" TargetMode="External"/><Relationship Id="rId49" Type="http://schemas.openxmlformats.org/officeDocument/2006/relationships/hyperlink" Target="https://oceans-nadia.com/user/22084/recipe/146462" TargetMode="External"/><Relationship Id="rId10" Type="http://schemas.openxmlformats.org/officeDocument/2006/relationships/hyperlink" Target="https://recipe.shidax.co.jp/recipe/detail/112" TargetMode="External"/><Relationship Id="rId19" Type="http://schemas.openxmlformats.org/officeDocument/2006/relationships/hyperlink" Target="https://www.kurashiru.com/recipes/65cc8e11-3eab-491f-8745-c89fe560c0b3" TargetMode="External"/><Relationship Id="rId31" Type="http://schemas.openxmlformats.org/officeDocument/2006/relationships/hyperlink" Target="https://oceans-nadia.com/user/22780/recipe/375032" TargetMode="External"/><Relationship Id="rId44" Type="http://schemas.openxmlformats.org/officeDocument/2006/relationships/hyperlink" Target="https://cookpad.com/recipe/1191363" TargetMode="External"/><Relationship Id="rId52" Type="http://schemas.openxmlformats.org/officeDocument/2006/relationships/hyperlink" Target="https://twitter.com/igarashi_yukari/status/1256147863194578945" TargetMode="External"/><Relationship Id="rId4" Type="http://schemas.openxmlformats.org/officeDocument/2006/relationships/hyperlink" Target="https://www.kikkoman.co.jp/homecook/search/recipe/00003460/index.html" TargetMode="External"/><Relationship Id="rId9" Type="http://schemas.openxmlformats.org/officeDocument/2006/relationships/hyperlink" Target="https://oceans-nadia.com/user/196104/recipe/376279" TargetMode="External"/><Relationship Id="rId14" Type="http://schemas.openxmlformats.org/officeDocument/2006/relationships/hyperlink" Target="https://www.kurashiru.com/recipes/ded0d347-2d6e-4304-b19c-8e26b195efc6" TargetMode="External"/><Relationship Id="rId22" Type="http://schemas.openxmlformats.org/officeDocument/2006/relationships/hyperlink" Target="https://erecipe.woman.excite.co.jp/detail/085b34985b5996cae86a5845741cb9ad.html" TargetMode="External"/><Relationship Id="rId27" Type="http://schemas.openxmlformats.org/officeDocument/2006/relationships/hyperlink" Target="https://cookpad.com/recipe/2986341" TargetMode="External"/><Relationship Id="rId30" Type="http://schemas.openxmlformats.org/officeDocument/2006/relationships/hyperlink" Target="https://recipe.rakuten.co.jp/recipe/1850008421/?l-id=recipe_list_detail_recipe" TargetMode="External"/><Relationship Id="rId35" Type="http://schemas.openxmlformats.org/officeDocument/2006/relationships/hyperlink" Target="https://recipe.rakuten.co.jp/recipe/1070031681/" TargetMode="External"/><Relationship Id="rId43" Type="http://schemas.openxmlformats.org/officeDocument/2006/relationships/hyperlink" Target="https://oceans-nadia.com/user/21965/recipe/191133" TargetMode="External"/><Relationship Id="rId48" Type="http://schemas.openxmlformats.org/officeDocument/2006/relationships/hyperlink" Target="https://cookpad.com/recipe/1605247" TargetMode="External"/><Relationship Id="rId8" Type="http://schemas.openxmlformats.org/officeDocument/2006/relationships/hyperlink" Target="https://www.kewpie.co.jp/recipes/basicsalad/salad02/" TargetMode="External"/><Relationship Id="rId51" Type="http://schemas.openxmlformats.org/officeDocument/2006/relationships/hyperlink" Target="https://daidokolog.pal-system.co.jp/recipe/331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64"/>
  <sheetViews>
    <sheetView tabSelected="1" workbookViewId="0">
      <pane xSplit="3" ySplit="2" topLeftCell="D30" activePane="bottomRight" state="frozen"/>
      <selection pane="topRight" activeCell="D1" sqref="D1"/>
      <selection pane="bottomLeft" activeCell="A3" sqref="A3"/>
      <selection pane="bottomRight" activeCell="B6" sqref="B6"/>
    </sheetView>
  </sheetViews>
  <sheetFormatPr defaultRowHeight="13.5" x14ac:dyDescent="0.15"/>
  <cols>
    <col min="1" max="1" width="10.5" bestFit="1" customWidth="1"/>
    <col min="2" max="2" width="7.25" customWidth="1"/>
    <col min="3" max="3" width="4" customWidth="1"/>
    <col min="4" max="7" width="19.125" customWidth="1"/>
    <col min="8" max="8" width="13.375" customWidth="1"/>
    <col min="9" max="9" width="32.125" customWidth="1"/>
    <col min="10" max="10" width="3.5" customWidth="1"/>
    <col min="11" max="14" width="11.875" customWidth="1"/>
  </cols>
  <sheetData>
    <row r="1" spans="1:14" x14ac:dyDescent="0.15">
      <c r="A1" t="s">
        <v>0</v>
      </c>
      <c r="K1" t="s">
        <v>86</v>
      </c>
      <c r="L1" s="1" t="e">
        <f>VLOOKUP(E1,データ!$B:$C,2,FALSE)</f>
        <v>#N/A</v>
      </c>
    </row>
    <row r="2" spans="1:14" x14ac:dyDescent="0.15">
      <c r="A2" s="1"/>
      <c r="B2" s="3" t="s">
        <v>5</v>
      </c>
      <c r="C2" s="3" t="s">
        <v>31</v>
      </c>
      <c r="D2" s="3" t="s">
        <v>1</v>
      </c>
      <c r="E2" s="3" t="s">
        <v>2</v>
      </c>
      <c r="F2" s="3" t="s">
        <v>3</v>
      </c>
      <c r="G2" s="3" t="s">
        <v>142</v>
      </c>
      <c r="H2" s="3" t="s">
        <v>10</v>
      </c>
      <c r="I2" s="3" t="s">
        <v>7</v>
      </c>
      <c r="J2" s="3"/>
      <c r="K2" s="3" t="s">
        <v>1</v>
      </c>
      <c r="L2" s="3" t="s">
        <v>2</v>
      </c>
      <c r="M2" s="3" t="s">
        <v>3</v>
      </c>
      <c r="N2" s="3" t="s">
        <v>4</v>
      </c>
    </row>
    <row r="3" spans="1:14" x14ac:dyDescent="0.15">
      <c r="A3" s="2">
        <v>44018</v>
      </c>
      <c r="B3" s="2" t="str">
        <f>TEXT(A3,"aaa")</f>
        <v>月</v>
      </c>
      <c r="C3" s="2"/>
      <c r="D3" s="1"/>
      <c r="E3" s="1"/>
      <c r="F3" s="1"/>
      <c r="G3" s="1"/>
      <c r="H3" s="1"/>
      <c r="I3" s="1"/>
      <c r="J3" s="1"/>
      <c r="K3" s="8" t="str">
        <f>IFERROR(HYPERLINK(VLOOKUP(D3,データ!$B:$C,2,FALSE),D3),"※no-data")</f>
        <v>※no-data</v>
      </c>
      <c r="L3" s="8" t="str">
        <f>IFERROR(HYPERLINK(VLOOKUP(E3,データ!$B:$C,2,FALSE),E3),"※no-data")</f>
        <v>※no-data</v>
      </c>
      <c r="M3" s="8" t="str">
        <f>IFERROR(HYPERLINK(VLOOKUP(F3,データ!$B:$C,2,FALSE),F3),"※no-data")</f>
        <v>※no-data</v>
      </c>
      <c r="N3" s="8" t="str">
        <f>IFERROR(HYPERLINK(VLOOKUP(G3,データ!$B:$C,2,FALSE),G3),"※no-data")</f>
        <v>※no-data</v>
      </c>
    </row>
    <row r="4" spans="1:14" x14ac:dyDescent="0.15">
      <c r="A4" s="2">
        <v>44019</v>
      </c>
      <c r="B4" s="2" t="str">
        <f t="shared" ref="B4:B27" si="0">TEXT(A4,"aaa")</f>
        <v>火</v>
      </c>
      <c r="C4" s="2"/>
      <c r="D4" s="1" t="s">
        <v>22</v>
      </c>
      <c r="E4" s="1" t="s">
        <v>12</v>
      </c>
      <c r="F4" s="1" t="s">
        <v>14</v>
      </c>
      <c r="G4" s="1" t="s">
        <v>9</v>
      </c>
      <c r="H4" s="1" t="s">
        <v>11</v>
      </c>
      <c r="I4" s="1"/>
      <c r="J4" s="1"/>
      <c r="K4" s="8" t="str">
        <f>IFERROR(HYPERLINK(VLOOKUP(D4,データ!$B:$C,2,FALSE),D4),"※no-data")</f>
        <v>※no-data</v>
      </c>
      <c r="L4" s="8" t="str">
        <f>IFERROR(HYPERLINK(VLOOKUP(E4,データ!$B:$C,2,FALSE),E4),"※no-data")</f>
        <v>いんげん胡麻和え</v>
      </c>
      <c r="M4" s="8" t="str">
        <f>IFERROR(HYPERLINK(VLOOKUP(F4,データ!$B:$C,2,FALSE),F4),"※no-data")</f>
        <v>※no-data</v>
      </c>
      <c r="N4" s="8" t="str">
        <f>IFERROR(HYPERLINK(VLOOKUP(G4,データ!$B:$C,2,FALSE),G4),"※no-data")</f>
        <v>※no-data</v>
      </c>
    </row>
    <row r="5" spans="1:14" x14ac:dyDescent="0.15">
      <c r="A5" s="2">
        <v>44020</v>
      </c>
      <c r="B5" s="2" t="str">
        <f t="shared" si="0"/>
        <v>水</v>
      </c>
      <c r="C5" s="2"/>
      <c r="D5" s="1" t="s">
        <v>22</v>
      </c>
      <c r="E5" s="1" t="s">
        <v>12</v>
      </c>
      <c r="F5" s="1" t="s">
        <v>15</v>
      </c>
      <c r="G5" s="1" t="s">
        <v>9</v>
      </c>
      <c r="H5" s="1" t="s">
        <v>11</v>
      </c>
      <c r="I5" s="1"/>
      <c r="J5" s="1"/>
      <c r="K5" s="8" t="str">
        <f>IFERROR(HYPERLINK(VLOOKUP(D5,データ!$B:$C,2,FALSE),D5),"※no-data")</f>
        <v>※no-data</v>
      </c>
      <c r="L5" s="8" t="str">
        <f>IFERROR(HYPERLINK(VLOOKUP(E5,データ!$B:$C,2,FALSE),E5),"※no-data")</f>
        <v>いんげん胡麻和え</v>
      </c>
      <c r="M5" s="8" t="str">
        <f>IFERROR(HYPERLINK(VLOOKUP(F5,データ!$B:$C,2,FALSE),F5),"※no-data")</f>
        <v>ジャガイモグラタン</v>
      </c>
      <c r="N5" s="8" t="str">
        <f>IFERROR(HYPERLINK(VLOOKUP(G5,データ!$B:$C,2,FALSE),G5),"※no-data")</f>
        <v>※no-data</v>
      </c>
    </row>
    <row r="6" spans="1:14" x14ac:dyDescent="0.15">
      <c r="A6" s="2">
        <v>44021</v>
      </c>
      <c r="B6" s="2" t="str">
        <f t="shared" si="0"/>
        <v>木</v>
      </c>
      <c r="C6" s="2"/>
      <c r="D6" s="1" t="s">
        <v>44</v>
      </c>
      <c r="E6" s="1" t="s">
        <v>6</v>
      </c>
      <c r="F6" s="1" t="s">
        <v>14</v>
      </c>
      <c r="G6" s="1" t="s">
        <v>13</v>
      </c>
      <c r="H6" s="1" t="s">
        <v>27</v>
      </c>
      <c r="I6" s="1"/>
      <c r="J6" s="1"/>
      <c r="K6" s="8" t="str">
        <f>IFERROR(HYPERLINK(VLOOKUP(D6,データ!$B:$C,2,FALSE),D6),"※no-data")</f>
        <v>ささみ照り焼き</v>
      </c>
      <c r="L6" s="8" t="str">
        <f>IFERROR(HYPERLINK(VLOOKUP(E6,データ!$B:$C,2,FALSE),E6),"※no-data")</f>
        <v>無限キャベツ</v>
      </c>
      <c r="M6" s="8" t="str">
        <f>IFERROR(HYPERLINK(VLOOKUP(F6,データ!$B:$C,2,FALSE),F6),"※no-data")</f>
        <v>※no-data</v>
      </c>
      <c r="N6" s="8" t="str">
        <f>IFERROR(HYPERLINK(VLOOKUP(G6,データ!$B:$C,2,FALSE),G6),"※no-data")</f>
        <v>※no-data</v>
      </c>
    </row>
    <row r="7" spans="1:14" x14ac:dyDescent="0.15">
      <c r="A7" s="2">
        <v>44022</v>
      </c>
      <c r="B7" s="2" t="str">
        <f t="shared" si="0"/>
        <v>金</v>
      </c>
      <c r="C7" s="2"/>
      <c r="D7" s="1" t="s">
        <v>44</v>
      </c>
      <c r="E7" s="1" t="s">
        <v>6</v>
      </c>
      <c r="F7" s="1" t="s">
        <v>15</v>
      </c>
      <c r="G7" s="1" t="s">
        <v>37</v>
      </c>
      <c r="H7" s="1" t="s">
        <v>28</v>
      </c>
      <c r="I7" s="1"/>
      <c r="J7" s="1"/>
      <c r="K7" s="8" t="str">
        <f>IFERROR(HYPERLINK(VLOOKUP(D7,データ!$B:$C,2,FALSE),D7),"※no-data")</f>
        <v>ささみ照り焼き</v>
      </c>
      <c r="L7" s="8" t="str">
        <f>IFERROR(HYPERLINK(VLOOKUP(E7,データ!$B:$C,2,FALSE),E7),"※no-data")</f>
        <v>無限キャベツ</v>
      </c>
      <c r="M7" s="8" t="str">
        <f>IFERROR(HYPERLINK(VLOOKUP(F7,データ!$B:$C,2,FALSE),F7),"※no-data")</f>
        <v>ジャガイモグラタン</v>
      </c>
      <c r="N7" s="8" t="str">
        <f>IFERROR(HYPERLINK(VLOOKUP(G7,データ!$B:$C,2,FALSE),G7),"※no-data")</f>
        <v>※no-data</v>
      </c>
    </row>
    <row r="8" spans="1:14" x14ac:dyDescent="0.15">
      <c r="A8" s="2">
        <v>44023</v>
      </c>
      <c r="B8" s="2" t="str">
        <f t="shared" si="0"/>
        <v>土</v>
      </c>
      <c r="C8" s="2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15">
      <c r="A9" s="2">
        <v>44024</v>
      </c>
      <c r="B9" s="2" t="str">
        <f t="shared" si="0"/>
        <v>日</v>
      </c>
      <c r="C9" s="2" t="s">
        <v>31</v>
      </c>
      <c r="D9" s="1" t="s">
        <v>43</v>
      </c>
      <c r="E9" s="1" t="s">
        <v>6</v>
      </c>
      <c r="F9" s="1" t="s">
        <v>43</v>
      </c>
      <c r="G9" s="1" t="s">
        <v>52</v>
      </c>
      <c r="H9" s="1" t="s">
        <v>36</v>
      </c>
      <c r="I9" s="1"/>
      <c r="J9" s="1"/>
      <c r="K9" s="8" t="str">
        <f>IFERROR(HYPERLINK(VLOOKUP(D9,データ!$B:$C,2,FALSE),D9),"※no-data")</f>
        <v>※no-data</v>
      </c>
      <c r="L9" s="8" t="str">
        <f>IFERROR(HYPERLINK(VLOOKUP(E9,データ!$B:$C,2,FALSE),E9),"※no-data")</f>
        <v>無限キャベツ</v>
      </c>
      <c r="M9" s="8" t="str">
        <f>IFERROR(HYPERLINK(VLOOKUP(F9,データ!$B:$C,2,FALSE),F9),"※no-data")</f>
        <v>※no-data</v>
      </c>
      <c r="N9" s="8" t="str">
        <f>IFERROR(HYPERLINK(VLOOKUP(G9,データ!$B:$C,2,FALSE),G9),"※no-data")</f>
        <v>ウィンナーサラダ</v>
      </c>
    </row>
    <row r="10" spans="1:14" x14ac:dyDescent="0.15">
      <c r="A10" s="2">
        <v>44025</v>
      </c>
      <c r="B10" s="2" t="str">
        <f t="shared" si="0"/>
        <v>月</v>
      </c>
      <c r="C10" s="2"/>
      <c r="D10" s="1" t="s">
        <v>53</v>
      </c>
      <c r="E10" s="1" t="s">
        <v>55</v>
      </c>
      <c r="F10" s="1" t="s">
        <v>58</v>
      </c>
      <c r="G10" s="1" t="s">
        <v>35</v>
      </c>
      <c r="H10" s="1" t="s">
        <v>56</v>
      </c>
      <c r="I10" s="1" t="s">
        <v>16</v>
      </c>
      <c r="J10" s="1"/>
      <c r="K10" s="8" t="str">
        <f>IFERROR(HYPERLINK(VLOOKUP(D10,データ!$B:$C,2,FALSE),D10),"※no-data")</f>
        <v>※no-data</v>
      </c>
      <c r="L10" s="8" t="str">
        <f>IFERROR(HYPERLINK(VLOOKUP(E10,データ!$B:$C,2,FALSE),E10),"※no-data")</f>
        <v>※no-data</v>
      </c>
      <c r="M10" s="8" t="str">
        <f>IFERROR(HYPERLINK(VLOOKUP(F10,データ!$B:$C,2,FALSE),F10),"※no-data")</f>
        <v>※no-data</v>
      </c>
      <c r="N10" s="8" t="str">
        <f>IFERROR(HYPERLINK(VLOOKUP(G10,データ!$B:$C,2,FALSE),G10),"※no-data")</f>
        <v>クルトンサラダ</v>
      </c>
    </row>
    <row r="11" spans="1:14" x14ac:dyDescent="0.15">
      <c r="A11" s="2">
        <v>44026</v>
      </c>
      <c r="B11" s="2" t="str">
        <f t="shared" si="0"/>
        <v>火</v>
      </c>
      <c r="C11" s="2"/>
      <c r="D11" s="1" t="s">
        <v>53</v>
      </c>
      <c r="E11" s="1" t="s">
        <v>58</v>
      </c>
      <c r="F11" s="1" t="s">
        <v>33</v>
      </c>
      <c r="G11" s="1" t="s">
        <v>8</v>
      </c>
      <c r="H11" s="1" t="s">
        <v>56</v>
      </c>
      <c r="I11" s="1" t="s">
        <v>29</v>
      </c>
      <c r="J11" s="1"/>
      <c r="K11" s="8" t="str">
        <f>IFERROR(HYPERLINK(VLOOKUP(D11,データ!$B:$C,2,FALSE),D11),"※no-data")</f>
        <v>※no-data</v>
      </c>
      <c r="L11" s="8" t="str">
        <f>IFERROR(HYPERLINK(VLOOKUP(E11,データ!$B:$C,2,FALSE),E11),"※no-data")</f>
        <v>※no-data</v>
      </c>
      <c r="M11" s="8" t="str">
        <f>IFERROR(HYPERLINK(VLOOKUP(F11,データ!$B:$C,2,FALSE),F11),"※no-data")</f>
        <v>インゲンチーズ巻き</v>
      </c>
      <c r="N11" s="8" t="str">
        <f>IFERROR(HYPERLINK(VLOOKUP(G11,データ!$B:$C,2,FALSE),G11),"※no-data")</f>
        <v>ポテトサラダ</v>
      </c>
    </row>
    <row r="12" spans="1:14" x14ac:dyDescent="0.15">
      <c r="A12" s="2">
        <v>44027</v>
      </c>
      <c r="B12" s="2" t="str">
        <f t="shared" si="0"/>
        <v>水</v>
      </c>
      <c r="C12" s="2"/>
      <c r="D12" s="1" t="s">
        <v>32</v>
      </c>
      <c r="E12" s="1" t="s">
        <v>39</v>
      </c>
      <c r="F12" s="1" t="s">
        <v>27</v>
      </c>
      <c r="G12" s="1" t="s">
        <v>8</v>
      </c>
      <c r="H12" s="1" t="s">
        <v>61</v>
      </c>
      <c r="I12" s="1"/>
      <c r="J12" s="1"/>
      <c r="K12" s="8" t="str">
        <f>IFERROR(HYPERLINK(VLOOKUP(D12,データ!$B:$C,2,FALSE),D12),"※no-data")</f>
        <v>※no-data</v>
      </c>
      <c r="L12" s="8" t="str">
        <f>IFERROR(HYPERLINK(VLOOKUP(E12,データ!$B:$C,2,FALSE),E12),"※no-data")</f>
        <v>※no-data</v>
      </c>
      <c r="M12" s="8" t="str">
        <f>IFERROR(HYPERLINK(VLOOKUP(F12,データ!$B:$C,2,FALSE),F12),"※no-data")</f>
        <v>※no-data</v>
      </c>
      <c r="N12" s="8" t="str">
        <f>IFERROR(HYPERLINK(VLOOKUP(G12,データ!$B:$C,2,FALSE),G12),"※no-data")</f>
        <v>ポテトサラダ</v>
      </c>
    </row>
    <row r="13" spans="1:14" x14ac:dyDescent="0.15">
      <c r="A13" s="2">
        <v>44028</v>
      </c>
      <c r="B13" s="2" t="str">
        <f t="shared" si="0"/>
        <v>木</v>
      </c>
      <c r="C13" s="2"/>
      <c r="D13" s="1" t="s">
        <v>32</v>
      </c>
      <c r="E13" s="1" t="s">
        <v>27</v>
      </c>
      <c r="F13" s="1" t="s">
        <v>54</v>
      </c>
      <c r="G13" s="1" t="s">
        <v>60</v>
      </c>
      <c r="H13" s="1" t="s">
        <v>56</v>
      </c>
      <c r="I13" s="1"/>
      <c r="J13" s="1"/>
      <c r="K13" s="8" t="str">
        <f>IFERROR(HYPERLINK(VLOOKUP(D13,データ!$B:$C,2,FALSE),D13),"※no-data")</f>
        <v>※no-data</v>
      </c>
      <c r="L13" s="8" t="str">
        <f>IFERROR(HYPERLINK(VLOOKUP(E13,データ!$B:$C,2,FALSE),E13),"※no-data")</f>
        <v>※no-data</v>
      </c>
      <c r="M13" s="8" t="str">
        <f>IFERROR(HYPERLINK(VLOOKUP(F13,データ!$B:$C,2,FALSE),F13),"※no-data")</f>
        <v>人参明太子</v>
      </c>
      <c r="N13" s="8" t="str">
        <f>IFERROR(HYPERLINK(VLOOKUP(G13,データ!$B:$C,2,FALSE),G13),"※no-data")</f>
        <v>※no-data</v>
      </c>
    </row>
    <row r="14" spans="1:14" x14ac:dyDescent="0.15">
      <c r="A14" s="2">
        <v>44029</v>
      </c>
      <c r="B14" s="2" t="str">
        <f t="shared" si="0"/>
        <v>金</v>
      </c>
      <c r="C14" s="2" t="s">
        <v>31</v>
      </c>
      <c r="D14" s="1"/>
      <c r="E14" s="1" t="s">
        <v>59</v>
      </c>
      <c r="F14" s="1" t="s">
        <v>54</v>
      </c>
      <c r="G14" s="1" t="s">
        <v>40</v>
      </c>
      <c r="H14" s="1" t="s">
        <v>56</v>
      </c>
      <c r="I14" s="1"/>
      <c r="J14" s="1"/>
      <c r="K14" s="1"/>
      <c r="L14" s="1"/>
      <c r="M14" s="1"/>
      <c r="N14" s="1"/>
    </row>
    <row r="15" spans="1:14" x14ac:dyDescent="0.15">
      <c r="A15" s="2">
        <v>44030</v>
      </c>
      <c r="B15" s="2" t="str">
        <f t="shared" si="0"/>
        <v>土</v>
      </c>
      <c r="C15" s="2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15">
      <c r="A16" s="2">
        <v>44031</v>
      </c>
      <c r="B16" s="2" t="str">
        <f t="shared" si="0"/>
        <v>日</v>
      </c>
      <c r="C16" s="2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15">
      <c r="A17" s="2">
        <v>44032</v>
      </c>
      <c r="B17" s="2" t="str">
        <f t="shared" si="0"/>
        <v>月</v>
      </c>
      <c r="C17" s="2"/>
      <c r="D17" s="1" t="s">
        <v>45</v>
      </c>
      <c r="E17" s="1" t="s">
        <v>54</v>
      </c>
      <c r="F17" s="1" t="s">
        <v>57</v>
      </c>
      <c r="G17" s="1" t="s">
        <v>40</v>
      </c>
      <c r="H17" s="1"/>
      <c r="I17" s="1"/>
      <c r="J17" s="1"/>
      <c r="K17" s="8" t="str">
        <f>IFERROR(HYPERLINK(VLOOKUP(D17,データ!$B:$C,2,FALSE),D17),"※no-data")</f>
        <v>※no-data</v>
      </c>
      <c r="L17" s="8" t="str">
        <f>IFERROR(HYPERLINK(VLOOKUP(E17,データ!$B:$C,2,FALSE),E17),"※no-data")</f>
        <v>人参明太子</v>
      </c>
      <c r="M17" s="8" t="str">
        <f>IFERROR(HYPERLINK(VLOOKUP(F17,データ!$B:$C,2,FALSE),F17),"※no-data")</f>
        <v>枝豆卵焼き</v>
      </c>
      <c r="N17" s="8" t="str">
        <f>IFERROR(HYPERLINK(VLOOKUP(G17,データ!$B:$C,2,FALSE),G17),"※no-data")</f>
        <v>マカロニサラダ</v>
      </c>
    </row>
    <row r="18" spans="1:14" x14ac:dyDescent="0.15">
      <c r="A18" s="2">
        <v>44033</v>
      </c>
      <c r="B18" s="2" t="str">
        <f t="shared" si="0"/>
        <v>火</v>
      </c>
      <c r="C18" s="2"/>
      <c r="D18" s="1" t="s">
        <v>45</v>
      </c>
      <c r="E18" s="1" t="s">
        <v>73</v>
      </c>
      <c r="F18" s="1" t="s">
        <v>57</v>
      </c>
      <c r="G18" s="1" t="s">
        <v>40</v>
      </c>
      <c r="H18" s="1"/>
      <c r="I18" s="1"/>
      <c r="J18" s="1"/>
      <c r="K18" s="8" t="str">
        <f>IFERROR(HYPERLINK(VLOOKUP(D18,データ!$B:$C,2,FALSE),D18),"※no-data")</f>
        <v>※no-data</v>
      </c>
      <c r="L18" s="8" t="str">
        <f>IFERROR(HYPERLINK(VLOOKUP(E18,データ!$B:$C,2,FALSE),E18),"※no-data")</f>
        <v>玉ねぎ味噌炒め</v>
      </c>
      <c r="M18" s="8" t="str">
        <f>IFERROR(HYPERLINK(VLOOKUP(F18,データ!$B:$C,2,FALSE),F18),"※no-data")</f>
        <v>枝豆卵焼き</v>
      </c>
      <c r="N18" s="8" t="str">
        <f>IFERROR(HYPERLINK(VLOOKUP(G18,データ!$B:$C,2,FALSE),G18),"※no-data")</f>
        <v>マカロニサラダ</v>
      </c>
    </row>
    <row r="19" spans="1:14" x14ac:dyDescent="0.15">
      <c r="A19" s="2">
        <v>44034</v>
      </c>
      <c r="B19" s="2" t="str">
        <f t="shared" si="0"/>
        <v>水</v>
      </c>
      <c r="C19" s="2"/>
      <c r="D19" s="1" t="s">
        <v>76</v>
      </c>
      <c r="E19" s="1" t="s">
        <v>73</v>
      </c>
      <c r="F19" s="1" t="s">
        <v>64</v>
      </c>
      <c r="G19" s="1" t="s">
        <v>75</v>
      </c>
      <c r="H19" s="1"/>
      <c r="I19" s="1"/>
      <c r="J19" s="1"/>
      <c r="K19" s="8" t="str">
        <f>IFERROR(HYPERLINK(VLOOKUP(D19,データ!$B:$C,2,FALSE),D19),"※no-data")</f>
        <v>豚肉照り焼き炒め</v>
      </c>
      <c r="L19" s="8" t="str">
        <f>IFERROR(HYPERLINK(VLOOKUP(E19,データ!$B:$C,2,FALSE),E19),"※no-data")</f>
        <v>玉ねぎ味噌炒め</v>
      </c>
      <c r="M19" s="8" t="str">
        <f>IFERROR(HYPERLINK(VLOOKUP(F19,データ!$B:$C,2,FALSE),F19),"※no-data")</f>
        <v>※no-data</v>
      </c>
      <c r="N19" s="8" t="str">
        <f>IFERROR(HYPERLINK(VLOOKUP(G19,データ!$B:$C,2,FALSE),G19),"※no-data")</f>
        <v>ゆで卵サラダ</v>
      </c>
    </row>
    <row r="20" spans="1:14" x14ac:dyDescent="0.15">
      <c r="A20" s="6">
        <v>44035</v>
      </c>
      <c r="B20" s="6" t="str">
        <f t="shared" si="0"/>
        <v>木</v>
      </c>
      <c r="C20" s="2" t="s">
        <v>31</v>
      </c>
      <c r="D20" s="7"/>
      <c r="E20" s="7"/>
      <c r="F20" s="7"/>
      <c r="G20" s="7"/>
      <c r="H20" s="7"/>
      <c r="I20" s="7" t="s">
        <v>17</v>
      </c>
      <c r="J20" s="7"/>
      <c r="K20" s="7"/>
      <c r="L20" s="7"/>
      <c r="M20" s="7"/>
      <c r="N20" s="7"/>
    </row>
    <row r="21" spans="1:14" x14ac:dyDescent="0.15">
      <c r="A21" s="6">
        <v>44036</v>
      </c>
      <c r="B21" s="6" t="str">
        <f t="shared" si="0"/>
        <v>金</v>
      </c>
      <c r="C21" s="2" t="s">
        <v>31</v>
      </c>
      <c r="D21" s="7"/>
      <c r="E21" s="7"/>
      <c r="F21" s="7"/>
      <c r="G21" s="7"/>
      <c r="H21" s="7"/>
      <c r="I21" s="7" t="s">
        <v>18</v>
      </c>
      <c r="J21" s="7"/>
      <c r="K21" s="7"/>
      <c r="L21" s="7"/>
      <c r="M21" s="7"/>
      <c r="N21" s="7"/>
    </row>
    <row r="22" spans="1:14" x14ac:dyDescent="0.15">
      <c r="A22" s="2">
        <v>44037</v>
      </c>
      <c r="B22" s="2" t="str">
        <f t="shared" si="0"/>
        <v>土</v>
      </c>
      <c r="C22" s="2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15">
      <c r="A23" s="2">
        <v>44038</v>
      </c>
      <c r="B23" s="2" t="str">
        <f t="shared" si="0"/>
        <v>日</v>
      </c>
      <c r="C23" s="2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15">
      <c r="A24" s="2">
        <v>44039</v>
      </c>
      <c r="B24" s="2" t="str">
        <f t="shared" si="0"/>
        <v>月</v>
      </c>
      <c r="C24" s="2"/>
      <c r="D24" s="1" t="s">
        <v>87</v>
      </c>
      <c r="E24" s="1" t="s">
        <v>87</v>
      </c>
      <c r="F24" s="1" t="s">
        <v>89</v>
      </c>
      <c r="G24" s="1" t="s">
        <v>88</v>
      </c>
      <c r="H24" s="1"/>
      <c r="I24" s="1"/>
      <c r="J24" s="1"/>
      <c r="K24" s="8" t="str">
        <f>IFERROR(HYPERLINK(VLOOKUP(D24,データ!$B:$C,2,FALSE),D24),"※no-data")</f>
        <v>※no-data</v>
      </c>
      <c r="L24" s="8" t="str">
        <f>IFERROR(HYPERLINK(VLOOKUP(E24,データ!$B:$C,2,FALSE),E24),"※no-data")</f>
        <v>※no-data</v>
      </c>
      <c r="M24" s="8" t="str">
        <f>IFERROR(HYPERLINK(VLOOKUP(F24,データ!$B:$C,2,FALSE),F24),"※no-data")</f>
        <v>チーズ卵焼き</v>
      </c>
      <c r="N24" s="8" t="str">
        <f>IFERROR(HYPERLINK(VLOOKUP(G24,データ!$B:$C,2,FALSE),G24),"※no-data")</f>
        <v>ハムサラダ</v>
      </c>
    </row>
    <row r="25" spans="1:14" x14ac:dyDescent="0.15">
      <c r="A25" s="2">
        <v>44040</v>
      </c>
      <c r="B25" s="2" t="str">
        <f t="shared" si="0"/>
        <v>火</v>
      </c>
      <c r="C25" s="2"/>
      <c r="D25" s="1" t="s">
        <v>98</v>
      </c>
      <c r="E25" s="1" t="s">
        <v>41</v>
      </c>
      <c r="F25" s="1" t="s">
        <v>89</v>
      </c>
      <c r="G25" s="1" t="s">
        <v>94</v>
      </c>
      <c r="H25" s="1"/>
      <c r="I25" s="1"/>
      <c r="J25" s="1"/>
      <c r="K25" s="8" t="str">
        <f>IFERROR(HYPERLINK(VLOOKUP(D25,データ!$B:$C,2,FALSE),D25),"※no-data")</f>
        <v>豚肉ピーマンオイスターソース</v>
      </c>
      <c r="L25" s="8" t="str">
        <f>IFERROR(HYPERLINK(VLOOKUP(E25,データ!$B:$C,2,FALSE),E25),"※no-data")</f>
        <v>玉ねぎ麺つゆ和え</v>
      </c>
      <c r="M25" s="8" t="str">
        <f>IFERROR(HYPERLINK(VLOOKUP(F25,データ!$B:$C,2,FALSE),F25),"※no-data")</f>
        <v>チーズ卵焼き</v>
      </c>
      <c r="N25" s="8" t="str">
        <f>IFERROR(HYPERLINK(VLOOKUP(G25,データ!$B:$C,2,FALSE),G25),"※no-data")</f>
        <v>きゅうりとツナのサラダ</v>
      </c>
    </row>
    <row r="26" spans="1:14" x14ac:dyDescent="0.15">
      <c r="A26" s="2">
        <v>44041</v>
      </c>
      <c r="B26" s="2" t="str">
        <f t="shared" si="0"/>
        <v>水</v>
      </c>
      <c r="C26" s="2"/>
      <c r="D26" s="1" t="s">
        <v>98</v>
      </c>
      <c r="E26" s="1" t="s">
        <v>41</v>
      </c>
      <c r="F26" s="1" t="s">
        <v>92</v>
      </c>
      <c r="G26" s="1" t="s">
        <v>93</v>
      </c>
      <c r="H26" s="1"/>
      <c r="I26" s="1"/>
      <c r="J26" s="1"/>
      <c r="K26" s="8" t="str">
        <f>IFERROR(HYPERLINK(VLOOKUP(D26,データ!$B:$C,2,FALSE),D26),"※no-data")</f>
        <v>豚肉ピーマンオイスターソース</v>
      </c>
      <c r="L26" s="8" t="str">
        <f>IFERROR(HYPERLINK(VLOOKUP(E26,データ!$B:$C,2,FALSE),E26),"※no-data")</f>
        <v>玉ねぎ麺つゆ和え</v>
      </c>
      <c r="M26" s="8" t="str">
        <f>IFERROR(HYPERLINK(VLOOKUP(F26,データ!$B:$C,2,FALSE),F26),"※no-data")</f>
        <v>ジャガイモベーコン巻き</v>
      </c>
      <c r="N26" s="8" t="str">
        <f>IFERROR(HYPERLINK(VLOOKUP(G26,データ!$B:$C,2,FALSE),G26),"※no-data")</f>
        <v>ブロッコリーサラダ</v>
      </c>
    </row>
    <row r="27" spans="1:14" x14ac:dyDescent="0.15">
      <c r="A27" s="2">
        <v>44042</v>
      </c>
      <c r="B27" s="2" t="str">
        <f t="shared" si="0"/>
        <v>木</v>
      </c>
      <c r="C27" s="2"/>
      <c r="D27" s="1" t="s">
        <v>99</v>
      </c>
      <c r="E27" s="1" t="s">
        <v>102</v>
      </c>
      <c r="F27" s="1" t="s">
        <v>92</v>
      </c>
      <c r="G27" s="1" t="s">
        <v>93</v>
      </c>
      <c r="H27" s="1"/>
      <c r="I27" s="1"/>
      <c r="J27" s="1"/>
      <c r="K27" s="8" t="str">
        <f>IFERROR(HYPERLINK(VLOOKUP(D27,データ!$B:$C,2,FALSE),D27),"※no-data")</f>
        <v>※no-data</v>
      </c>
      <c r="L27" s="8" t="str">
        <f>IFERROR(HYPERLINK(VLOOKUP(E27,データ!$B:$C,2,FALSE),E27),"※no-data")</f>
        <v>鶏むね肉サッパリ煮</v>
      </c>
      <c r="M27" s="8" t="str">
        <f>IFERROR(HYPERLINK(VLOOKUP(F27,データ!$B:$C,2,FALSE),F27),"※no-data")</f>
        <v>ジャガイモベーコン巻き</v>
      </c>
      <c r="N27" s="8" t="str">
        <f>IFERROR(HYPERLINK(VLOOKUP(G27,データ!$B:$C,2,FALSE),G27),"※no-data")</f>
        <v>ブロッコリーサラダ</v>
      </c>
    </row>
    <row r="28" spans="1:14" x14ac:dyDescent="0.15">
      <c r="A28" s="2">
        <v>44043</v>
      </c>
      <c r="B28" s="2" t="str">
        <f t="shared" ref="B28:B32" si="1">TEXT(A28,"aaa")</f>
        <v>金</v>
      </c>
      <c r="C28" s="2"/>
      <c r="D28" s="1" t="s">
        <v>102</v>
      </c>
      <c r="E28" s="1" t="s">
        <v>103</v>
      </c>
      <c r="F28" s="1" t="s">
        <v>87</v>
      </c>
      <c r="G28" s="1" t="s">
        <v>100</v>
      </c>
      <c r="H28" s="1"/>
      <c r="I28" s="1"/>
      <c r="J28" s="1"/>
      <c r="K28" s="8" t="str">
        <f>IFERROR(HYPERLINK(VLOOKUP(D28,データ!$B:$C,2,FALSE),D28),"※no-data")</f>
        <v>鶏むね肉サッパリ煮</v>
      </c>
      <c r="L28" s="8" t="str">
        <f>IFERROR(HYPERLINK(VLOOKUP(E28,データ!$B:$C,2,FALSE),E28),"※no-data")</f>
        <v>ジャガイモグラタン</v>
      </c>
      <c r="M28" s="8" t="str">
        <f>IFERROR(HYPERLINK(VLOOKUP(F28,データ!$B:$C,2,FALSE),F28),"※no-data")</f>
        <v>※no-data</v>
      </c>
      <c r="N28" s="8" t="str">
        <f>IFERROR(HYPERLINK(VLOOKUP(G28,データ!$B:$C,2,FALSE),G28),"※no-data")</f>
        <v>クルトンサラダ</v>
      </c>
    </row>
    <row r="29" spans="1:14" x14ac:dyDescent="0.15">
      <c r="A29" s="2">
        <v>44044</v>
      </c>
      <c r="B29" s="2" t="str">
        <f t="shared" si="1"/>
        <v>土</v>
      </c>
      <c r="C29" s="2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15">
      <c r="A30" s="2">
        <v>44045</v>
      </c>
      <c r="B30" s="2" t="str">
        <f t="shared" si="1"/>
        <v>日</v>
      </c>
      <c r="C30" s="2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15">
      <c r="A31" s="2">
        <v>44046</v>
      </c>
      <c r="B31" s="2" t="str">
        <f t="shared" si="1"/>
        <v>月</v>
      </c>
      <c r="C31" s="2"/>
      <c r="D31" s="1" t="s">
        <v>137</v>
      </c>
      <c r="E31" s="1" t="s">
        <v>129</v>
      </c>
      <c r="F31" s="1" t="s">
        <v>138</v>
      </c>
      <c r="G31" s="1" t="s">
        <v>139</v>
      </c>
      <c r="H31" s="1"/>
      <c r="I31" s="1" t="s">
        <v>104</v>
      </c>
      <c r="J31" s="1"/>
      <c r="K31" s="8" t="str">
        <f>IFERROR(HYPERLINK(VLOOKUP(D31,データ!$B:$C,2,FALSE),D31),"※no-data")</f>
        <v>※no-data</v>
      </c>
      <c r="L31" s="8" t="str">
        <f>IFERROR(HYPERLINK(VLOOKUP(E31,データ!$B:$C,2,FALSE),E31),"※no-data")</f>
        <v>しめじバターポン酢</v>
      </c>
      <c r="M31" s="8" t="str">
        <f>IFERROR(HYPERLINK(VLOOKUP(F31,データ!$B:$C,2,FALSE),F31),"※no-data")</f>
        <v>ベーコン卵焼き</v>
      </c>
      <c r="N31" s="8" t="str">
        <f>IFERROR(HYPERLINK(VLOOKUP(G31,データ!$B:$C,2,FALSE),G31),"※no-data")</f>
        <v>ピーマンおかか和え</v>
      </c>
    </row>
    <row r="32" spans="1:14" x14ac:dyDescent="0.15">
      <c r="A32" s="2">
        <v>44047</v>
      </c>
      <c r="B32" s="2" t="str">
        <f t="shared" si="1"/>
        <v>火</v>
      </c>
      <c r="C32" s="2"/>
      <c r="D32" s="1" t="s">
        <v>151</v>
      </c>
      <c r="E32" s="1" t="s">
        <v>129</v>
      </c>
      <c r="F32" s="1" t="s">
        <v>138</v>
      </c>
      <c r="G32" s="1" t="s">
        <v>143</v>
      </c>
      <c r="H32" s="1"/>
      <c r="I32" s="1"/>
      <c r="J32" s="1"/>
      <c r="K32" s="8" t="str">
        <f>IFERROR(HYPERLINK(VLOOKUP(D32,データ!$B:$C,2,FALSE),D32),"※no-data")</f>
        <v>豚ひき肉ネギ味噌つくね</v>
      </c>
      <c r="L32" s="8" t="str">
        <f>IFERROR(HYPERLINK(VLOOKUP(E32,データ!$B:$C,2,FALSE),E32),"※no-data")</f>
        <v>しめじバターポン酢</v>
      </c>
      <c r="M32" s="8" t="str">
        <f>IFERROR(HYPERLINK(VLOOKUP(F32,データ!$B:$C,2,FALSE),F32),"※no-data")</f>
        <v>ベーコン卵焼き</v>
      </c>
      <c r="N32" s="8" t="str">
        <f>IFERROR(HYPERLINK(VLOOKUP(G32,データ!$B:$C,2,FALSE),G32),"※no-data")</f>
        <v>じゃこサラダ</v>
      </c>
    </row>
    <row r="33" spans="1:14" x14ac:dyDescent="0.15">
      <c r="A33" s="2">
        <v>44048</v>
      </c>
      <c r="B33" s="2" t="str">
        <f t="shared" ref="B33:B60" si="2">TEXT(A33,"aaa")</f>
        <v>水</v>
      </c>
      <c r="C33" s="2" t="s">
        <v>172</v>
      </c>
      <c r="D33" s="1"/>
      <c r="E33" s="1"/>
      <c r="F33" s="1"/>
      <c r="G33" s="1"/>
      <c r="H33" s="1"/>
      <c r="I33" s="1"/>
      <c r="J33" s="1"/>
      <c r="K33" s="8" t="str">
        <f>IFERROR(HYPERLINK(VLOOKUP(D33,データ!$B:$C,2,FALSE),D33),"※no-data")</f>
        <v>※no-data</v>
      </c>
      <c r="L33" s="8" t="str">
        <f>IFERROR(HYPERLINK(VLOOKUP(E33,データ!$B:$C,2,FALSE),E33),"※no-data")</f>
        <v>※no-data</v>
      </c>
      <c r="M33" s="8" t="str">
        <f>IFERROR(HYPERLINK(VLOOKUP(F33,データ!$B:$C,2,FALSE),F33),"※no-data")</f>
        <v>※no-data</v>
      </c>
      <c r="N33" s="8" t="str">
        <f>IFERROR(HYPERLINK(VLOOKUP(G33,データ!$B:$C,2,FALSE),G33),"※no-data")</f>
        <v>※no-data</v>
      </c>
    </row>
    <row r="34" spans="1:14" x14ac:dyDescent="0.15">
      <c r="A34" s="2">
        <v>44049</v>
      </c>
      <c r="B34" s="2" t="str">
        <f t="shared" si="2"/>
        <v>木</v>
      </c>
      <c r="C34" s="2"/>
      <c r="D34" s="1" t="s">
        <v>151</v>
      </c>
      <c r="E34" s="1" t="s">
        <v>156</v>
      </c>
      <c r="F34" s="1" t="s">
        <v>167</v>
      </c>
      <c r="G34" s="1" t="s">
        <v>164</v>
      </c>
      <c r="H34" s="1" t="s">
        <v>139</v>
      </c>
      <c r="I34" s="1"/>
      <c r="J34" s="1"/>
      <c r="K34" s="8" t="str">
        <f>IFERROR(HYPERLINK(VLOOKUP(D34,データ!$B:$C,2,FALSE),D34),"※no-data")</f>
        <v>豚ひき肉ネギ味噌つくね</v>
      </c>
      <c r="L34" s="8" t="str">
        <f>IFERROR(HYPERLINK(VLOOKUP(E34,データ!$B:$C,2,FALSE),E34),"※no-data")</f>
        <v>ジャガイモマッシュポテト</v>
      </c>
      <c r="M34" s="8" t="str">
        <f>IFERROR(HYPERLINK(VLOOKUP(F34,データ!$B:$C,2,FALSE),F34),"※no-data")</f>
        <v>人参コーンコンソメ炒め</v>
      </c>
      <c r="N34" s="8" t="str">
        <f>IFERROR(HYPERLINK(VLOOKUP(G34,データ!$B:$C,2,FALSE),G34),"※no-data")</f>
        <v>コーンサラダ</v>
      </c>
    </row>
    <row r="35" spans="1:14" x14ac:dyDescent="0.15">
      <c r="A35" s="6">
        <v>44050</v>
      </c>
      <c r="B35" s="6" t="str">
        <f t="shared" si="2"/>
        <v>金</v>
      </c>
      <c r="C35" s="6" t="s">
        <v>173</v>
      </c>
      <c r="D35" s="7" t="s">
        <v>144</v>
      </c>
      <c r="E35" s="7" t="s">
        <v>156</v>
      </c>
      <c r="F35" s="7" t="s">
        <v>167</v>
      </c>
      <c r="G35" s="7" t="s">
        <v>164</v>
      </c>
      <c r="H35" s="7"/>
      <c r="I35" s="7"/>
      <c r="J35" s="7"/>
      <c r="K35" s="8" t="str">
        <f>IFERROR(HYPERLINK(VLOOKUP(D35,データ!$B:$C,2,FALSE),D35),"※no-data")</f>
        <v>鶏むねケチャップ炒め</v>
      </c>
      <c r="L35" s="8" t="str">
        <f>IFERROR(HYPERLINK(VLOOKUP(E35,データ!$B:$C,2,FALSE),E35),"※no-data")</f>
        <v>ジャガイモマッシュポテト</v>
      </c>
      <c r="M35" s="8" t="str">
        <f>IFERROR(HYPERLINK(VLOOKUP(F35,データ!$B:$C,2,FALSE),F35),"※no-data")</f>
        <v>人参コーンコンソメ炒め</v>
      </c>
      <c r="N35" s="8" t="str">
        <f>IFERROR(HYPERLINK(VLOOKUP(G35,データ!$B:$C,2,FALSE),G35),"※no-data")</f>
        <v>コーンサラダ</v>
      </c>
    </row>
    <row r="36" spans="1:14" x14ac:dyDescent="0.15">
      <c r="A36" s="2">
        <v>44051</v>
      </c>
      <c r="B36" s="2" t="str">
        <f t="shared" si="2"/>
        <v>土</v>
      </c>
      <c r="C36" s="2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15">
      <c r="A37" s="2">
        <v>44052</v>
      </c>
      <c r="B37" s="2" t="str">
        <f t="shared" si="2"/>
        <v>日</v>
      </c>
      <c r="C37" s="2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15">
      <c r="A38" s="2">
        <v>44053</v>
      </c>
      <c r="B38" s="2" t="str">
        <f t="shared" si="2"/>
        <v>月</v>
      </c>
      <c r="C38" s="2" t="s">
        <v>105</v>
      </c>
      <c r="D38" s="1"/>
      <c r="E38" s="1"/>
      <c r="F38" s="1"/>
      <c r="G38" s="1"/>
      <c r="H38" s="1"/>
      <c r="I38" s="1" t="s">
        <v>136</v>
      </c>
      <c r="J38" s="1"/>
      <c r="K38" s="1"/>
      <c r="L38" s="1"/>
      <c r="M38" s="1"/>
      <c r="N38" s="1"/>
    </row>
    <row r="39" spans="1:14" x14ac:dyDescent="0.15">
      <c r="A39" s="2">
        <v>44054</v>
      </c>
      <c r="B39" s="2" t="str">
        <f t="shared" si="2"/>
        <v>火</v>
      </c>
      <c r="C39" s="2" t="s">
        <v>105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15">
      <c r="A40" s="2">
        <v>44055</v>
      </c>
      <c r="B40" s="2" t="str">
        <f t="shared" si="2"/>
        <v>水</v>
      </c>
      <c r="C40" s="2" t="s">
        <v>135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15">
      <c r="A41" s="2">
        <v>44056</v>
      </c>
      <c r="B41" s="2" t="str">
        <f t="shared" si="2"/>
        <v>木</v>
      </c>
      <c r="C41" s="2"/>
      <c r="D41" s="1" t="s">
        <v>175</v>
      </c>
      <c r="E41" s="1" t="s">
        <v>182</v>
      </c>
      <c r="F41" s="1" t="s">
        <v>183</v>
      </c>
      <c r="G41" s="1" t="s">
        <v>179</v>
      </c>
      <c r="H41" s="1"/>
      <c r="I41" s="1" t="s">
        <v>180</v>
      </c>
      <c r="J41" s="1"/>
      <c r="K41" s="8" t="str">
        <f>IFERROR(HYPERLINK(VLOOKUP(D41,データ!$B:$C,2,FALSE),D41),"※no-data")</f>
        <v>豆苗と豚バラのうま味炒め</v>
      </c>
      <c r="L41" s="8" t="str">
        <f>IFERROR(HYPERLINK(VLOOKUP(E41,データ!$B:$C,2,FALSE),E41),"※no-data")</f>
        <v>ほうれん草コーンバター炒め</v>
      </c>
      <c r="M41" s="8" t="str">
        <f>IFERROR(HYPERLINK(VLOOKUP(F41,データ!$B:$C,2,FALSE),F41),"※no-data")</f>
        <v>※no-data</v>
      </c>
      <c r="N41" s="8" t="str">
        <f>IFERROR(HYPERLINK(VLOOKUP(G41,データ!$B:$C,2,FALSE),G41),"※no-data")</f>
        <v>ゆで卵サラダ</v>
      </c>
    </row>
    <row r="42" spans="1:14" x14ac:dyDescent="0.15">
      <c r="A42" s="2">
        <v>44057</v>
      </c>
      <c r="B42" s="2" t="str">
        <f t="shared" si="2"/>
        <v>金</v>
      </c>
      <c r="C42" s="2" t="s">
        <v>173</v>
      </c>
      <c r="D42" s="1" t="s">
        <v>175</v>
      </c>
      <c r="E42" s="1" t="s">
        <v>182</v>
      </c>
      <c r="F42" s="1" t="s">
        <v>183</v>
      </c>
      <c r="G42" s="1"/>
      <c r="H42" s="1"/>
      <c r="I42" s="1"/>
      <c r="J42" s="1"/>
      <c r="K42" s="8" t="str">
        <f>IFERROR(HYPERLINK(VLOOKUP(D42,データ!$B:$C,2,FALSE),D42),"※no-data")</f>
        <v>豆苗と豚バラのうま味炒め</v>
      </c>
      <c r="L42" s="8" t="str">
        <f>IFERROR(HYPERLINK(VLOOKUP(E42,データ!$B:$C,2,FALSE),E42),"※no-data")</f>
        <v>ほうれん草コーンバター炒め</v>
      </c>
      <c r="M42" s="8" t="str">
        <f>IFERROR(HYPERLINK(VLOOKUP(F42,データ!$B:$C,2,FALSE),F42),"※no-data")</f>
        <v>※no-data</v>
      </c>
      <c r="N42" s="8" t="str">
        <f>IFERROR(HYPERLINK(VLOOKUP(G42,データ!$B:$C,2,FALSE),G42),"※no-data")</f>
        <v>※no-data</v>
      </c>
    </row>
    <row r="43" spans="1:14" x14ac:dyDescent="0.15">
      <c r="A43" s="2">
        <v>44058</v>
      </c>
      <c r="B43" s="2" t="str">
        <f t="shared" si="2"/>
        <v>土</v>
      </c>
      <c r="C43" s="2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</row>
    <row r="44" spans="1:14" x14ac:dyDescent="0.15">
      <c r="A44" s="2">
        <v>44059</v>
      </c>
      <c r="B44" s="2" t="str">
        <f t="shared" si="2"/>
        <v>日</v>
      </c>
      <c r="C44" s="2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 x14ac:dyDescent="0.15">
      <c r="A45" s="2">
        <v>44060</v>
      </c>
      <c r="B45" s="2" t="str">
        <f t="shared" si="2"/>
        <v>月</v>
      </c>
      <c r="C45" s="2" t="s">
        <v>176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x14ac:dyDescent="0.15">
      <c r="A46" s="2">
        <v>44061</v>
      </c>
      <c r="B46" s="2" t="str">
        <f t="shared" si="2"/>
        <v>火</v>
      </c>
      <c r="C46" s="2"/>
      <c r="D46" s="1" t="s">
        <v>144</v>
      </c>
      <c r="E46" s="1" t="s">
        <v>184</v>
      </c>
      <c r="F46" s="1" t="s">
        <v>185</v>
      </c>
      <c r="G46" s="1" t="s">
        <v>187</v>
      </c>
      <c r="H46" s="1"/>
      <c r="I46" s="1"/>
      <c r="J46" s="1"/>
      <c r="K46" s="8" t="str">
        <f>IFERROR(HYPERLINK(VLOOKUP(D46,データ!$B:$C,2,FALSE),D46),"※no-data")</f>
        <v>鶏むねケチャップ炒め</v>
      </c>
      <c r="L46" s="8" t="str">
        <f>IFERROR(HYPERLINK(VLOOKUP(E46,データ!$B:$C,2,FALSE),E46),"※no-data")</f>
        <v>だし巻き卵</v>
      </c>
      <c r="M46" s="8" t="str">
        <f>IFERROR(HYPERLINK(VLOOKUP(F46,データ!$B:$C,2,FALSE),F46),"※no-data")</f>
        <v>※no-data</v>
      </c>
      <c r="N46" s="8" t="str">
        <f>IFERROR(HYPERLINK(VLOOKUP(G46,データ!$B:$C,2,FALSE),G46),"※no-data")</f>
        <v>豆苗サラダ</v>
      </c>
    </row>
    <row r="47" spans="1:14" x14ac:dyDescent="0.15">
      <c r="A47" s="2">
        <v>44062</v>
      </c>
      <c r="B47" s="2" t="str">
        <f t="shared" si="2"/>
        <v>水</v>
      </c>
      <c r="C47" s="2"/>
      <c r="D47" s="1" t="s">
        <v>144</v>
      </c>
      <c r="E47" s="1" t="s">
        <v>191</v>
      </c>
      <c r="F47" s="1" t="s">
        <v>185</v>
      </c>
      <c r="G47" s="1" t="s">
        <v>187</v>
      </c>
      <c r="H47" s="1"/>
      <c r="I47" s="1"/>
      <c r="J47" s="1"/>
      <c r="K47" s="8" t="str">
        <f>IFERROR(HYPERLINK(VLOOKUP(D47,データ!$B:$C,2,FALSE),D47),"※no-data")</f>
        <v>鶏むねケチャップ炒め</v>
      </c>
      <c r="L47" s="8" t="str">
        <f>IFERROR(HYPERLINK(VLOOKUP(E47,データ!$B:$C,2,FALSE),E47),"※no-data")</f>
        <v>人参しりしり</v>
      </c>
      <c r="M47" s="8" t="str">
        <f>IFERROR(HYPERLINK(VLOOKUP(F47,データ!$B:$C,2,FALSE),F47),"※no-data")</f>
        <v>※no-data</v>
      </c>
      <c r="N47" s="8" t="str">
        <f>IFERROR(HYPERLINK(VLOOKUP(G47,データ!$B:$C,2,FALSE),G47),"※no-data")</f>
        <v>豆苗サラダ</v>
      </c>
    </row>
    <row r="48" spans="1:14" x14ac:dyDescent="0.15">
      <c r="A48" s="2">
        <v>44063</v>
      </c>
      <c r="B48" s="2" t="str">
        <f t="shared" si="2"/>
        <v>木</v>
      </c>
      <c r="C48" s="2"/>
      <c r="D48" s="1" t="s">
        <v>186</v>
      </c>
      <c r="E48" s="1" t="s">
        <v>184</v>
      </c>
      <c r="F48" s="1" t="s">
        <v>64</v>
      </c>
      <c r="G48" s="1" t="s">
        <v>113</v>
      </c>
      <c r="H48" s="1"/>
      <c r="I48" s="1"/>
      <c r="J48" s="1"/>
      <c r="K48" s="8" t="str">
        <f>IFERROR(HYPERLINK(VLOOKUP(D48,データ!$B:$C,2,FALSE),D48),"※no-data")</f>
        <v>※no-data</v>
      </c>
      <c r="L48" s="8" t="str">
        <f>IFERROR(HYPERLINK(VLOOKUP(E48,データ!$B:$C,2,FALSE),E48),"※no-data")</f>
        <v>だし巻き卵</v>
      </c>
      <c r="M48" s="8" t="str">
        <f>IFERROR(HYPERLINK(VLOOKUP(F48,データ!$B:$C,2,FALSE),F48),"※no-data")</f>
        <v>※no-data</v>
      </c>
      <c r="N48" s="8" t="str">
        <f>IFERROR(HYPERLINK(VLOOKUP(G48,データ!$B:$C,2,FALSE),G48),"※no-data")</f>
        <v>ポテトサラダ</v>
      </c>
    </row>
    <row r="49" spans="1:14" x14ac:dyDescent="0.15">
      <c r="A49" s="2">
        <v>44064</v>
      </c>
      <c r="B49" s="2" t="str">
        <f t="shared" si="2"/>
        <v>金</v>
      </c>
      <c r="C49" s="2" t="s">
        <v>192</v>
      </c>
      <c r="D49" s="1" t="s">
        <v>186</v>
      </c>
      <c r="E49" s="1" t="s">
        <v>191</v>
      </c>
      <c r="F49" s="1" t="s">
        <v>193</v>
      </c>
      <c r="G49" s="1" t="s">
        <v>113</v>
      </c>
      <c r="H49" s="1"/>
      <c r="I49" s="1"/>
      <c r="J49" s="1"/>
      <c r="K49" s="8" t="str">
        <f>IFERROR(HYPERLINK(VLOOKUP(D49,データ!$B:$C,2,FALSE),D49),"※no-data")</f>
        <v>※no-data</v>
      </c>
      <c r="L49" s="8" t="str">
        <f>IFERROR(HYPERLINK(VLOOKUP(E49,データ!$B:$C,2,FALSE),E49),"※no-data")</f>
        <v>人参しりしり</v>
      </c>
      <c r="M49" s="8" t="str">
        <f>IFERROR(HYPERLINK(VLOOKUP(F49,データ!$B:$C,2,FALSE),F49),"※no-data")</f>
        <v>※no-data</v>
      </c>
      <c r="N49" s="8" t="str">
        <f>IFERROR(HYPERLINK(VLOOKUP(G49,データ!$B:$C,2,FALSE),G49),"※no-data")</f>
        <v>ポテトサラダ</v>
      </c>
    </row>
    <row r="50" spans="1:14" x14ac:dyDescent="0.15">
      <c r="A50" s="2">
        <v>44065</v>
      </c>
      <c r="B50" s="2" t="str">
        <f t="shared" si="2"/>
        <v>土</v>
      </c>
      <c r="C50" s="2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x14ac:dyDescent="0.15">
      <c r="A51" s="2">
        <v>44066</v>
      </c>
      <c r="B51" s="2" t="str">
        <f t="shared" si="2"/>
        <v>日</v>
      </c>
      <c r="C51" s="2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x14ac:dyDescent="0.15">
      <c r="A52" s="2">
        <v>44067</v>
      </c>
      <c r="B52" s="2" t="str">
        <f t="shared" si="2"/>
        <v>月</v>
      </c>
      <c r="C52" s="2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 x14ac:dyDescent="0.15">
      <c r="A53" s="2">
        <v>44068</v>
      </c>
      <c r="B53" s="2" t="str">
        <f t="shared" si="2"/>
        <v>火</v>
      </c>
      <c r="C53" s="2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 x14ac:dyDescent="0.15">
      <c r="A54" s="2">
        <v>44069</v>
      </c>
      <c r="B54" s="2" t="str">
        <f t="shared" si="2"/>
        <v>水</v>
      </c>
      <c r="C54" s="2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1:14" x14ac:dyDescent="0.15">
      <c r="A55" s="2">
        <v>44070</v>
      </c>
      <c r="B55" s="2" t="str">
        <f t="shared" si="2"/>
        <v>木</v>
      </c>
      <c r="C55" s="2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1:14" x14ac:dyDescent="0.15">
      <c r="A56" s="2">
        <v>44071</v>
      </c>
      <c r="B56" s="2" t="str">
        <f t="shared" si="2"/>
        <v>金</v>
      </c>
      <c r="C56" s="2" t="s">
        <v>173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1:14" x14ac:dyDescent="0.15">
      <c r="A57" s="2">
        <v>44072</v>
      </c>
      <c r="B57" s="2" t="str">
        <f t="shared" si="2"/>
        <v>土</v>
      </c>
      <c r="C57" s="2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x14ac:dyDescent="0.15">
      <c r="A58" s="2">
        <v>44073</v>
      </c>
      <c r="B58" s="2" t="str">
        <f t="shared" si="2"/>
        <v>日</v>
      </c>
      <c r="C58" s="2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1:14" x14ac:dyDescent="0.15">
      <c r="A59" s="2">
        <v>44074</v>
      </c>
      <c r="B59" s="2" t="str">
        <f t="shared" si="2"/>
        <v>月</v>
      </c>
      <c r="C59" s="2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14" x14ac:dyDescent="0.15">
      <c r="A60" s="2">
        <v>44075</v>
      </c>
      <c r="B60" s="2" t="str">
        <f t="shared" si="2"/>
        <v>火</v>
      </c>
      <c r="C60" s="2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  <row r="61" spans="1:14" x14ac:dyDescent="0.15">
      <c r="A61" s="2">
        <v>44076</v>
      </c>
      <c r="B61" s="2" t="str">
        <f t="shared" ref="B61:B64" si="3">TEXT(A61,"aaa")</f>
        <v>水</v>
      </c>
      <c r="C61" s="2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</row>
    <row r="62" spans="1:14" x14ac:dyDescent="0.15">
      <c r="A62" s="2">
        <v>44077</v>
      </c>
      <c r="B62" s="2" t="str">
        <f t="shared" si="3"/>
        <v>木</v>
      </c>
      <c r="C62" s="2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</row>
    <row r="63" spans="1:14" x14ac:dyDescent="0.15">
      <c r="A63" s="2">
        <v>44078</v>
      </c>
      <c r="B63" s="2" t="str">
        <f t="shared" si="3"/>
        <v>金</v>
      </c>
      <c r="C63" s="2" t="s">
        <v>173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</row>
    <row r="64" spans="1:14" x14ac:dyDescent="0.15">
      <c r="A64" s="2">
        <v>44079</v>
      </c>
      <c r="B64" s="2" t="str">
        <f t="shared" si="3"/>
        <v>土</v>
      </c>
      <c r="C64" s="2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</sheetData>
  <phoneticPr fontId="1"/>
  <conditionalFormatting sqref="A3:N1048576">
    <cfRule type="expression" dxfId="3" priority="1">
      <formula>$C3="natsu"</formula>
    </cfRule>
    <cfRule type="expression" dxfId="2" priority="21">
      <formula>OR(AND(OR($B3="土",$B3="日"),$C3=""),AND(AND($B3&lt;&gt;"土",$B3&lt;&gt;"日"),$C3&lt;&gt;""))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1"/>
  <sheetViews>
    <sheetView workbookViewId="0">
      <pane xSplit="1" ySplit="1" topLeftCell="B35" activePane="bottomRight" state="frozen"/>
      <selection pane="topRight" activeCell="B1" sqref="B1"/>
      <selection pane="bottomLeft" activeCell="A2" sqref="A2"/>
      <selection pane="bottomRight" activeCell="G6" sqref="G6"/>
    </sheetView>
  </sheetViews>
  <sheetFormatPr defaultRowHeight="13.5" x14ac:dyDescent="0.15"/>
  <cols>
    <col min="2" max="2" width="26.375" customWidth="1"/>
    <col min="3" max="3" width="88.25" bestFit="1" customWidth="1"/>
    <col min="5" max="5" width="13.875" style="9" bestFit="1" customWidth="1"/>
  </cols>
  <sheetData>
    <row r="1" spans="1:5" x14ac:dyDescent="0.15">
      <c r="A1" t="s">
        <v>190</v>
      </c>
      <c r="B1" t="s">
        <v>95</v>
      </c>
      <c r="C1" t="s">
        <v>96</v>
      </c>
      <c r="E1" s="9" t="s">
        <v>204</v>
      </c>
    </row>
    <row r="2" spans="1:5" x14ac:dyDescent="0.15">
      <c r="A2" t="s">
        <v>118</v>
      </c>
      <c r="B2" t="s">
        <v>80</v>
      </c>
      <c r="C2" s="4" t="s">
        <v>24</v>
      </c>
      <c r="E2" s="9">
        <f>SS_GetLatestDate(B2,献立表!D:G,献立表!A:A)</f>
        <v>44020</v>
      </c>
    </row>
    <row r="3" spans="1:5" x14ac:dyDescent="0.15">
      <c r="A3" t="s">
        <v>117</v>
      </c>
      <c r="B3" t="s">
        <v>44</v>
      </c>
      <c r="C3" s="4" t="s">
        <v>26</v>
      </c>
      <c r="E3" s="9">
        <f>SS_GetLatestDate(B3,献立表!D:G,献立表!A:A)</f>
        <v>44022</v>
      </c>
    </row>
    <row r="4" spans="1:5" x14ac:dyDescent="0.15">
      <c r="A4" t="s">
        <v>118</v>
      </c>
      <c r="B4" t="s">
        <v>82</v>
      </c>
      <c r="C4" s="4" t="s">
        <v>30</v>
      </c>
      <c r="E4" s="9">
        <f>SS_GetLatestDate(B4,献立表!D:G,献立表!A:A)</f>
        <v>44024</v>
      </c>
    </row>
    <row r="5" spans="1:5" x14ac:dyDescent="0.15">
      <c r="A5" t="s">
        <v>120</v>
      </c>
      <c r="B5" t="s">
        <v>114</v>
      </c>
      <c r="E5" s="9">
        <f>SS_GetLatestDate(B5,献立表!D:G,献立表!A:A)</f>
        <v>44024</v>
      </c>
    </row>
    <row r="6" spans="1:5" x14ac:dyDescent="0.15">
      <c r="A6" t="s">
        <v>118</v>
      </c>
      <c r="B6" s="5" t="s">
        <v>33</v>
      </c>
      <c r="C6" s="4" t="s">
        <v>34</v>
      </c>
      <c r="E6" s="9">
        <f>SS_GetLatestDate(B6,献立表!D:G,献立表!A:A)</f>
        <v>44026</v>
      </c>
    </row>
    <row r="7" spans="1:5" x14ac:dyDescent="0.15">
      <c r="A7" t="s">
        <v>118</v>
      </c>
      <c r="B7" t="s">
        <v>54</v>
      </c>
      <c r="C7" s="4" t="s">
        <v>25</v>
      </c>
      <c r="E7" s="9">
        <f>SS_GetLatestDate(B7,献立表!D:G,献立表!A:A)</f>
        <v>44032</v>
      </c>
    </row>
    <row r="8" spans="1:5" x14ac:dyDescent="0.15">
      <c r="A8" t="s">
        <v>120</v>
      </c>
      <c r="B8" t="s">
        <v>65</v>
      </c>
      <c r="C8" s="4" t="s">
        <v>66</v>
      </c>
      <c r="E8" s="9">
        <f>SS_GetLatestDate(B8,献立表!D:G,献立表!A:A)</f>
        <v>44033</v>
      </c>
    </row>
    <row r="9" spans="1:5" x14ac:dyDescent="0.15">
      <c r="A9" t="s">
        <v>118</v>
      </c>
      <c r="B9" t="s">
        <v>67</v>
      </c>
      <c r="C9" s="4" t="s">
        <v>68</v>
      </c>
      <c r="E9" s="9">
        <f>SS_GetLatestDate(B9,献立表!D:G,献立表!A:A)</f>
        <v>44033</v>
      </c>
    </row>
    <row r="10" spans="1:5" x14ac:dyDescent="0.15">
      <c r="A10" t="s">
        <v>118</v>
      </c>
      <c r="B10" t="s">
        <v>73</v>
      </c>
      <c r="C10" s="4" t="s">
        <v>74</v>
      </c>
      <c r="E10" s="9">
        <f>SS_GetLatestDate(B10,献立表!D:G,献立表!A:A)</f>
        <v>44034</v>
      </c>
    </row>
    <row r="11" spans="1:5" x14ac:dyDescent="0.15">
      <c r="A11" t="s">
        <v>117</v>
      </c>
      <c r="B11" t="s">
        <v>76</v>
      </c>
      <c r="C11" s="4" t="s">
        <v>77</v>
      </c>
      <c r="E11" s="9">
        <f>SS_GetLatestDate(B11,献立表!D:G,献立表!A:A)</f>
        <v>44034</v>
      </c>
    </row>
    <row r="12" spans="1:5" x14ac:dyDescent="0.15">
      <c r="A12" t="s">
        <v>120</v>
      </c>
      <c r="B12" t="s">
        <v>106</v>
      </c>
      <c r="E12" s="9">
        <f>SS_GetLatestDate(B12,献立表!D:G,献立表!A:A)</f>
        <v>44039</v>
      </c>
    </row>
    <row r="13" spans="1:5" x14ac:dyDescent="0.15">
      <c r="A13" t="s">
        <v>118</v>
      </c>
      <c r="B13" t="s">
        <v>89</v>
      </c>
      <c r="C13" s="4" t="s">
        <v>90</v>
      </c>
      <c r="E13" s="9">
        <f>SS_GetLatestDate(B13,献立表!D:G,献立表!A:A)</f>
        <v>44040</v>
      </c>
    </row>
    <row r="14" spans="1:5" x14ac:dyDescent="0.15">
      <c r="A14" t="s">
        <v>120</v>
      </c>
      <c r="B14" t="s">
        <v>107</v>
      </c>
      <c r="E14" s="9">
        <f>SS_GetLatestDate(B14,献立表!D:G,献立表!A:A)</f>
        <v>44040</v>
      </c>
    </row>
    <row r="15" spans="1:5" x14ac:dyDescent="0.15">
      <c r="A15" t="s">
        <v>118</v>
      </c>
      <c r="B15" s="5" t="s">
        <v>41</v>
      </c>
      <c r="C15" s="4" t="s">
        <v>42</v>
      </c>
      <c r="E15" s="9">
        <f>SS_GetLatestDate(B15,献立表!D:G,献立表!A:A)</f>
        <v>44041</v>
      </c>
    </row>
    <row r="16" spans="1:5" x14ac:dyDescent="0.15">
      <c r="A16" t="s">
        <v>117</v>
      </c>
      <c r="B16" t="s">
        <v>98</v>
      </c>
      <c r="C16" s="4" t="s">
        <v>97</v>
      </c>
      <c r="E16" s="9">
        <f>SS_GetLatestDate(B16,献立表!D:G,献立表!A:A)</f>
        <v>44041</v>
      </c>
    </row>
    <row r="17" spans="1:5" x14ac:dyDescent="0.15">
      <c r="A17" t="s">
        <v>118</v>
      </c>
      <c r="B17" t="s">
        <v>92</v>
      </c>
      <c r="C17" s="4" t="s">
        <v>91</v>
      </c>
      <c r="E17" s="9">
        <f>SS_GetLatestDate(B17,献立表!D:G,献立表!A:A)</f>
        <v>44042</v>
      </c>
    </row>
    <row r="18" spans="1:5" x14ac:dyDescent="0.15">
      <c r="A18" t="s">
        <v>118</v>
      </c>
      <c r="B18" t="s">
        <v>79</v>
      </c>
      <c r="C18" s="4" t="s">
        <v>20</v>
      </c>
      <c r="E18" s="9">
        <f>SS_GetLatestDate(B18,献立表!D:G,献立表!A:A)</f>
        <v>44043</v>
      </c>
    </row>
    <row r="19" spans="1:5" x14ac:dyDescent="0.15">
      <c r="A19" t="s">
        <v>117</v>
      </c>
      <c r="B19" t="s">
        <v>102</v>
      </c>
      <c r="C19" s="4" t="s">
        <v>101</v>
      </c>
      <c r="E19" s="9">
        <f>SS_GetLatestDate(B19,献立表!D:G,献立表!A:A)</f>
        <v>44043</v>
      </c>
    </row>
    <row r="20" spans="1:5" x14ac:dyDescent="0.15">
      <c r="A20" t="s">
        <v>120</v>
      </c>
      <c r="B20" t="s">
        <v>108</v>
      </c>
      <c r="E20" s="9">
        <f>SS_GetLatestDate(B20,献立表!D:G,献立表!A:A)</f>
        <v>44043</v>
      </c>
    </row>
    <row r="21" spans="1:5" x14ac:dyDescent="0.15">
      <c r="A21" t="s">
        <v>118</v>
      </c>
      <c r="B21" t="s">
        <v>139</v>
      </c>
      <c r="C21" s="4" t="s">
        <v>140</v>
      </c>
      <c r="E21" s="9">
        <f>SS_GetLatestDate(B21,献立表!D:G,献立表!A:A)</f>
        <v>44046</v>
      </c>
    </row>
    <row r="22" spans="1:5" x14ac:dyDescent="0.15">
      <c r="A22" t="s">
        <v>120</v>
      </c>
      <c r="B22" t="s">
        <v>112</v>
      </c>
      <c r="E22" s="9">
        <f>SS_GetLatestDate(B22,献立表!D:G,献立表!A:A)</f>
        <v>44047</v>
      </c>
    </row>
    <row r="23" spans="1:5" x14ac:dyDescent="0.15">
      <c r="A23" t="s">
        <v>118</v>
      </c>
      <c r="B23" t="s">
        <v>129</v>
      </c>
      <c r="C23" s="4" t="s">
        <v>130</v>
      </c>
      <c r="E23" s="9">
        <f>SS_GetLatestDate(B23,献立表!D:G,献立表!A:A)</f>
        <v>44047</v>
      </c>
    </row>
    <row r="24" spans="1:5" x14ac:dyDescent="0.15">
      <c r="A24" t="s">
        <v>118</v>
      </c>
      <c r="B24" t="s">
        <v>138</v>
      </c>
      <c r="C24" s="4" t="s">
        <v>141</v>
      </c>
      <c r="E24" s="9">
        <f>SS_GetLatestDate(B24,献立表!D:G,献立表!A:A)</f>
        <v>44047</v>
      </c>
    </row>
    <row r="25" spans="1:5" x14ac:dyDescent="0.15">
      <c r="A25" t="s">
        <v>153</v>
      </c>
      <c r="B25" t="s">
        <v>151</v>
      </c>
      <c r="C25" s="4" t="s">
        <v>152</v>
      </c>
      <c r="E25" s="9">
        <f>SS_GetLatestDate(B25,献立表!D:G,献立表!A:A)</f>
        <v>44049</v>
      </c>
    </row>
    <row r="26" spans="1:5" x14ac:dyDescent="0.15">
      <c r="A26" t="s">
        <v>118</v>
      </c>
      <c r="B26" t="s">
        <v>157</v>
      </c>
      <c r="C26" s="4" t="s">
        <v>155</v>
      </c>
      <c r="E26" s="9">
        <f>SS_GetLatestDate(B26,献立表!D:G,献立表!A:A)</f>
        <v>44050</v>
      </c>
    </row>
    <row r="27" spans="1:5" x14ac:dyDescent="0.15">
      <c r="A27" t="s">
        <v>118</v>
      </c>
      <c r="B27" t="s">
        <v>167</v>
      </c>
      <c r="C27" s="4" t="s">
        <v>166</v>
      </c>
      <c r="E27" s="9">
        <f>SS_GetLatestDate(B27,献立表!D:G,献立表!A:A)</f>
        <v>44050</v>
      </c>
    </row>
    <row r="28" spans="1:5" x14ac:dyDescent="0.15">
      <c r="A28" t="s">
        <v>120</v>
      </c>
      <c r="B28" t="s">
        <v>165</v>
      </c>
      <c r="E28" s="9">
        <f>SS_GetLatestDate(B28,献立表!D:G,献立表!A:A)</f>
        <v>44050</v>
      </c>
    </row>
    <row r="29" spans="1:5" x14ac:dyDescent="0.15">
      <c r="A29" t="s">
        <v>120</v>
      </c>
      <c r="B29" t="s">
        <v>111</v>
      </c>
      <c r="E29" s="9">
        <f>SS_GetLatestDate(B29,献立表!D:G,献立表!A:A)</f>
        <v>44056</v>
      </c>
    </row>
    <row r="30" spans="1:5" x14ac:dyDescent="0.15">
      <c r="A30" t="s">
        <v>117</v>
      </c>
      <c r="B30" t="s">
        <v>175</v>
      </c>
      <c r="C30" s="4" t="s">
        <v>174</v>
      </c>
      <c r="E30" s="9">
        <f>SS_GetLatestDate(B30,献立表!D:G,献立表!A:A)</f>
        <v>44057</v>
      </c>
    </row>
    <row r="31" spans="1:5" x14ac:dyDescent="0.15">
      <c r="A31" t="s">
        <v>118</v>
      </c>
      <c r="B31" t="s">
        <v>182</v>
      </c>
      <c r="C31" s="4" t="s">
        <v>181</v>
      </c>
      <c r="E31" s="9">
        <f>SS_GetLatestDate(B31,献立表!D:G,献立表!A:A)</f>
        <v>44057</v>
      </c>
    </row>
    <row r="32" spans="1:5" x14ac:dyDescent="0.15">
      <c r="A32" t="s">
        <v>153</v>
      </c>
      <c r="B32" t="s">
        <v>144</v>
      </c>
      <c r="C32" s="4" t="s">
        <v>145</v>
      </c>
      <c r="E32" s="9">
        <f>SS_GetLatestDate(B32,献立表!D:G,献立表!A:A)</f>
        <v>44062</v>
      </c>
    </row>
    <row r="33" spans="1:5" x14ac:dyDescent="0.15">
      <c r="A33" t="s">
        <v>120</v>
      </c>
      <c r="B33" t="s">
        <v>197</v>
      </c>
      <c r="E33" s="9">
        <f>SS_GetLatestDate(B33,献立表!D:G,献立表!A:A)</f>
        <v>44062</v>
      </c>
    </row>
    <row r="34" spans="1:5" x14ac:dyDescent="0.15">
      <c r="A34" t="s">
        <v>118</v>
      </c>
      <c r="B34" t="s">
        <v>133</v>
      </c>
      <c r="E34" s="9">
        <f>SS_GetLatestDate(B34,献立表!D:G,献立表!A:A)</f>
        <v>44063</v>
      </c>
    </row>
    <row r="35" spans="1:5" x14ac:dyDescent="0.15">
      <c r="A35" t="s">
        <v>120</v>
      </c>
      <c r="B35" t="s">
        <v>113</v>
      </c>
      <c r="E35" s="9">
        <f>SS_GetLatestDate(B35,献立表!D:G,献立表!A:A)</f>
        <v>44064</v>
      </c>
    </row>
    <row r="36" spans="1:5" x14ac:dyDescent="0.15">
      <c r="A36" t="s">
        <v>118</v>
      </c>
      <c r="B36" t="s">
        <v>124</v>
      </c>
      <c r="E36" s="9">
        <f>SS_GetLatestDate(B36,献立表!D:G,献立表!A:A)</f>
        <v>44064</v>
      </c>
    </row>
    <row r="37" spans="1:5" x14ac:dyDescent="0.15">
      <c r="A37" t="s">
        <v>117</v>
      </c>
      <c r="B37" t="s">
        <v>46</v>
      </c>
      <c r="C37" s="4" t="s">
        <v>47</v>
      </c>
      <c r="E37" s="9" t="str">
        <f>SS_GetLatestDate(B37,献立表!D:G,献立表!A:A)</f>
        <v>no data</v>
      </c>
    </row>
    <row r="38" spans="1:5" x14ac:dyDescent="0.15">
      <c r="A38" t="s">
        <v>117</v>
      </c>
      <c r="B38" t="s">
        <v>49</v>
      </c>
      <c r="C38" s="4" t="s">
        <v>48</v>
      </c>
      <c r="E38" s="9" t="str">
        <f>SS_GetLatestDate(B38,献立表!D:G,献立表!A:A)</f>
        <v>no data</v>
      </c>
    </row>
    <row r="39" spans="1:5" x14ac:dyDescent="0.15">
      <c r="A39" t="s">
        <v>117</v>
      </c>
      <c r="B39" t="s">
        <v>51</v>
      </c>
      <c r="C39" s="4" t="s">
        <v>50</v>
      </c>
      <c r="E39" s="9" t="str">
        <f>SS_GetLatestDate(B39,献立表!D:G,献立表!A:A)</f>
        <v>no data</v>
      </c>
    </row>
    <row r="40" spans="1:5" x14ac:dyDescent="0.15">
      <c r="A40" t="s">
        <v>119</v>
      </c>
      <c r="B40" t="s">
        <v>62</v>
      </c>
      <c r="C40" s="4" t="s">
        <v>63</v>
      </c>
      <c r="E40" s="9" t="str">
        <f>SS_GetLatestDate(B40,献立表!D:G,献立表!A:A)</f>
        <v>no data</v>
      </c>
    </row>
    <row r="41" spans="1:5" x14ac:dyDescent="0.15">
      <c r="A41" t="s">
        <v>117</v>
      </c>
      <c r="B41" t="s">
        <v>70</v>
      </c>
      <c r="C41" s="4" t="s">
        <v>69</v>
      </c>
      <c r="E41" s="9" t="str">
        <f>SS_GetLatestDate(B41,献立表!D:G,献立表!A:A)</f>
        <v>no data</v>
      </c>
    </row>
    <row r="42" spans="1:5" x14ac:dyDescent="0.15">
      <c r="A42" t="s">
        <v>118</v>
      </c>
      <c r="B42" t="s">
        <v>71</v>
      </c>
      <c r="C42" s="4" t="s">
        <v>72</v>
      </c>
      <c r="E42" s="9" t="str">
        <f>SS_GetLatestDate(B42,献立表!D:G,献立表!A:A)</f>
        <v>no data</v>
      </c>
    </row>
    <row r="43" spans="1:5" x14ac:dyDescent="0.15">
      <c r="A43" t="s">
        <v>120</v>
      </c>
      <c r="B43" t="s">
        <v>109</v>
      </c>
      <c r="C43" s="4" t="s">
        <v>21</v>
      </c>
      <c r="E43" s="9" t="str">
        <f>SS_GetLatestDate(B43,献立表!D:G,献立表!A:A)</f>
        <v>no data</v>
      </c>
    </row>
    <row r="44" spans="1:5" x14ac:dyDescent="0.15">
      <c r="A44" t="s">
        <v>118</v>
      </c>
      <c r="B44" t="s">
        <v>78</v>
      </c>
      <c r="C44" s="4" t="s">
        <v>19</v>
      </c>
      <c r="E44" s="9" t="str">
        <f>SS_GetLatestDate(B44,献立表!D:G,献立表!A:A)</f>
        <v>no data</v>
      </c>
    </row>
    <row r="45" spans="1:5" x14ac:dyDescent="0.15">
      <c r="A45" t="s">
        <v>117</v>
      </c>
      <c r="B45" t="s">
        <v>81</v>
      </c>
      <c r="C45" s="4" t="s">
        <v>23</v>
      </c>
      <c r="E45" s="9" t="str">
        <f>SS_GetLatestDate(B45,献立表!D:G,献立表!A:A)</f>
        <v>no data</v>
      </c>
    </row>
    <row r="46" spans="1:5" x14ac:dyDescent="0.15">
      <c r="A46" t="s">
        <v>118</v>
      </c>
      <c r="B46" t="s">
        <v>84</v>
      </c>
      <c r="C46" s="4" t="s">
        <v>83</v>
      </c>
      <c r="E46" s="9" t="str">
        <f>SS_GetLatestDate(B46,献立表!D:G,献立表!A:A)</f>
        <v>no data</v>
      </c>
    </row>
    <row r="47" spans="1:5" x14ac:dyDescent="0.15">
      <c r="A47" t="s">
        <v>117</v>
      </c>
      <c r="B47" t="s">
        <v>85</v>
      </c>
      <c r="C47" s="4" t="s">
        <v>38</v>
      </c>
      <c r="E47" s="9" t="str">
        <f>SS_GetLatestDate(B47,献立表!D:G,献立表!A:A)</f>
        <v>no data</v>
      </c>
    </row>
    <row r="48" spans="1:5" x14ac:dyDescent="0.15">
      <c r="A48" t="s">
        <v>120</v>
      </c>
      <c r="B48" t="s">
        <v>205</v>
      </c>
      <c r="E48" s="9">
        <f>SS_GetLatestDate(B48,献立表!D:G,献立表!A:A)</f>
        <v>44042</v>
      </c>
    </row>
    <row r="49" spans="1:5" x14ac:dyDescent="0.15">
      <c r="A49" t="s">
        <v>120</v>
      </c>
      <c r="B49" t="s">
        <v>110</v>
      </c>
      <c r="E49" s="9" t="str">
        <f>SS_GetLatestDate(B49,献立表!D:G,献立表!A:A)</f>
        <v>no data</v>
      </c>
    </row>
    <row r="50" spans="1:5" x14ac:dyDescent="0.15">
      <c r="A50" t="s">
        <v>120</v>
      </c>
      <c r="B50" t="s">
        <v>115</v>
      </c>
      <c r="E50" s="9" t="str">
        <f>SS_GetLatestDate(B50,献立表!D:G,献立表!A:A)</f>
        <v>no data</v>
      </c>
    </row>
    <row r="51" spans="1:5" x14ac:dyDescent="0.15">
      <c r="A51" t="s">
        <v>120</v>
      </c>
      <c r="B51" t="s">
        <v>116</v>
      </c>
      <c r="E51" s="9" t="str">
        <f>SS_GetLatestDate(B51,献立表!D:G,献立表!A:A)</f>
        <v>no data</v>
      </c>
    </row>
    <row r="52" spans="1:5" x14ac:dyDescent="0.15">
      <c r="A52" t="s">
        <v>120</v>
      </c>
      <c r="B52" t="s">
        <v>121</v>
      </c>
      <c r="E52" s="9" t="str">
        <f>SS_GetLatestDate(B52,献立表!D:G,献立表!A:A)</f>
        <v>no data</v>
      </c>
    </row>
    <row r="53" spans="1:5" x14ac:dyDescent="0.15">
      <c r="A53" t="s">
        <v>120</v>
      </c>
      <c r="B53" t="s">
        <v>134</v>
      </c>
      <c r="E53" s="9" t="str">
        <f>SS_GetLatestDate(B53,献立表!D:G,献立表!A:A)</f>
        <v>no data</v>
      </c>
    </row>
    <row r="54" spans="1:5" x14ac:dyDescent="0.15">
      <c r="A54" t="s">
        <v>117</v>
      </c>
      <c r="B54" t="s">
        <v>122</v>
      </c>
      <c r="E54" s="9" t="str">
        <f>SS_GetLatestDate(B54,献立表!D:G,献立表!A:A)</f>
        <v>no data</v>
      </c>
    </row>
    <row r="55" spans="1:5" x14ac:dyDescent="0.15">
      <c r="A55" t="s">
        <v>117</v>
      </c>
      <c r="B55" t="s">
        <v>123</v>
      </c>
      <c r="E55" s="9" t="str">
        <f>SS_GetLatestDate(B55,献立表!D:G,献立表!A:A)</f>
        <v>no data</v>
      </c>
    </row>
    <row r="56" spans="1:5" x14ac:dyDescent="0.15">
      <c r="A56" t="s">
        <v>117</v>
      </c>
      <c r="B56" t="s">
        <v>125</v>
      </c>
      <c r="C56" s="4" t="s">
        <v>126</v>
      </c>
      <c r="E56" s="9" t="str">
        <f>SS_GetLatestDate(B56,献立表!D:G,献立表!A:A)</f>
        <v>no data</v>
      </c>
    </row>
    <row r="57" spans="1:5" x14ac:dyDescent="0.15">
      <c r="A57" t="s">
        <v>118</v>
      </c>
      <c r="B57" t="s">
        <v>128</v>
      </c>
      <c r="C57" s="4" t="s">
        <v>127</v>
      </c>
      <c r="E57" s="9" t="str">
        <f>SS_GetLatestDate(B57,献立表!D:G,献立表!A:A)</f>
        <v>no data</v>
      </c>
    </row>
    <row r="58" spans="1:5" x14ac:dyDescent="0.15">
      <c r="A58" t="s">
        <v>118</v>
      </c>
      <c r="B58" t="s">
        <v>132</v>
      </c>
      <c r="C58" s="4" t="s">
        <v>131</v>
      </c>
      <c r="E58" s="9" t="str">
        <f>SS_GetLatestDate(B58,献立表!D:G,献立表!A:A)</f>
        <v>no data</v>
      </c>
    </row>
    <row r="59" spans="1:5" x14ac:dyDescent="0.15">
      <c r="A59" t="s">
        <v>153</v>
      </c>
      <c r="B59" t="s">
        <v>146</v>
      </c>
      <c r="C59" s="4" t="s">
        <v>147</v>
      </c>
      <c r="E59" s="9" t="str">
        <f>SS_GetLatestDate(B59,献立表!D:G,献立表!A:A)</f>
        <v>no data</v>
      </c>
    </row>
    <row r="60" spans="1:5" x14ac:dyDescent="0.15">
      <c r="A60" t="s">
        <v>153</v>
      </c>
      <c r="B60" t="s">
        <v>148</v>
      </c>
      <c r="C60" s="4" t="s">
        <v>149</v>
      </c>
      <c r="D60" s="4" t="s">
        <v>150</v>
      </c>
      <c r="E60" s="9" t="str">
        <f>SS_GetLatestDate(B60,献立表!D:G,献立表!A:A)</f>
        <v>no data</v>
      </c>
    </row>
    <row r="61" spans="1:5" x14ac:dyDescent="0.15">
      <c r="A61" t="s">
        <v>118</v>
      </c>
      <c r="B61" t="s">
        <v>154</v>
      </c>
      <c r="C61" s="4" t="s">
        <v>155</v>
      </c>
      <c r="E61" s="9" t="str">
        <f>SS_GetLatestDate(B61,献立表!D:G,献立表!A:A)</f>
        <v>no data</v>
      </c>
    </row>
    <row r="62" spans="1:5" x14ac:dyDescent="0.15">
      <c r="A62" t="s">
        <v>118</v>
      </c>
      <c r="B62" t="s">
        <v>159</v>
      </c>
      <c r="C62" s="4" t="s">
        <v>158</v>
      </c>
      <c r="E62" s="9" t="str">
        <f>SS_GetLatestDate(B62,献立表!D:G,献立表!A:A)</f>
        <v>no data</v>
      </c>
    </row>
    <row r="63" spans="1:5" x14ac:dyDescent="0.15">
      <c r="A63" t="s">
        <v>118</v>
      </c>
      <c r="B63" t="s">
        <v>160</v>
      </c>
      <c r="C63" s="4" t="s">
        <v>161</v>
      </c>
      <c r="E63" s="9" t="str">
        <f>SS_GetLatestDate(B63,献立表!D:G,献立表!A:A)</f>
        <v>no data</v>
      </c>
    </row>
    <row r="64" spans="1:5" x14ac:dyDescent="0.15">
      <c r="A64" t="s">
        <v>118</v>
      </c>
      <c r="B64" t="s">
        <v>162</v>
      </c>
      <c r="C64" s="4" t="s">
        <v>163</v>
      </c>
      <c r="E64" s="9" t="str">
        <f>SS_GetLatestDate(B64,献立表!D:G,献立表!A:A)</f>
        <v>no data</v>
      </c>
    </row>
    <row r="65" spans="1:5" x14ac:dyDescent="0.15">
      <c r="A65" t="s">
        <v>118</v>
      </c>
      <c r="B65" t="s">
        <v>168</v>
      </c>
      <c r="C65" s="4" t="s">
        <v>170</v>
      </c>
      <c r="E65" s="9" t="str">
        <f>SS_GetLatestDate(B65,献立表!D:G,献立表!A:A)</f>
        <v>no data</v>
      </c>
    </row>
    <row r="66" spans="1:5" x14ac:dyDescent="0.15">
      <c r="A66" t="s">
        <v>118</v>
      </c>
      <c r="B66" t="s">
        <v>169</v>
      </c>
      <c r="C66" s="4" t="s">
        <v>171</v>
      </c>
      <c r="E66" s="9" t="str">
        <f>SS_GetLatestDate(B66,献立表!D:G,献立表!A:A)</f>
        <v>no data</v>
      </c>
    </row>
    <row r="67" spans="1:5" x14ac:dyDescent="0.15">
      <c r="A67" t="s">
        <v>118</v>
      </c>
      <c r="B67" t="s">
        <v>177</v>
      </c>
      <c r="C67" s="4" t="s">
        <v>178</v>
      </c>
      <c r="E67" s="9" t="str">
        <f>SS_GetLatestDate(B67,献立表!D:G,献立表!A:A)</f>
        <v>no data</v>
      </c>
    </row>
    <row r="68" spans="1:5" x14ac:dyDescent="0.15">
      <c r="A68" t="s">
        <v>120</v>
      </c>
      <c r="B68" t="s">
        <v>188</v>
      </c>
      <c r="C68" s="4" t="s">
        <v>189</v>
      </c>
      <c r="E68" s="9" t="str">
        <f>SS_GetLatestDate(B68,献立表!D:G,献立表!A:A)</f>
        <v>no data</v>
      </c>
    </row>
    <row r="69" spans="1:5" x14ac:dyDescent="0.15">
      <c r="A69" t="s">
        <v>118</v>
      </c>
      <c r="B69" t="s">
        <v>195</v>
      </c>
      <c r="C69" s="4" t="s">
        <v>194</v>
      </c>
      <c r="D69" s="4" t="s">
        <v>196</v>
      </c>
      <c r="E69" s="9" t="str">
        <f>SS_GetLatestDate(B69,献立表!D:G,献立表!A:A)</f>
        <v>no data</v>
      </c>
    </row>
    <row r="70" spans="1:5" x14ac:dyDescent="0.15">
      <c r="A70" t="s">
        <v>118</v>
      </c>
      <c r="B70" t="s">
        <v>199</v>
      </c>
      <c r="C70" s="4" t="s">
        <v>198</v>
      </c>
      <c r="E70" s="9" t="str">
        <f>SS_GetLatestDate(B70,献立表!D:G,献立表!A:A)</f>
        <v>no data</v>
      </c>
    </row>
    <row r="71" spans="1:5" x14ac:dyDescent="0.15">
      <c r="A71" t="s">
        <v>117</v>
      </c>
      <c r="B71" t="s">
        <v>202</v>
      </c>
      <c r="C71" s="4" t="s">
        <v>203</v>
      </c>
      <c r="E71" s="9" t="str">
        <f>SS_GetLatestDate(B71,献立表!D:G,献立表!A:A)</f>
        <v>no data</v>
      </c>
    </row>
  </sheetData>
  <autoFilter ref="A1:E1">
    <sortState ref="A2:E71">
      <sortCondition ref="E1"/>
    </sortState>
  </autoFilter>
  <phoneticPr fontId="1"/>
  <conditionalFormatting sqref="B5">
    <cfRule type="expression" dxfId="1" priority="2">
      <formula>AND(OR($B5="土",$B5="日"),$C5="")</formula>
    </cfRule>
  </conditionalFormatting>
  <conditionalFormatting sqref="B6">
    <cfRule type="expression" dxfId="0" priority="19">
      <formula>AND(OR(#REF!="土",#REF!="日"),$B6="")</formula>
    </cfRule>
  </conditionalFormatting>
  <hyperlinks>
    <hyperlink ref="C37" r:id="rId1"/>
    <hyperlink ref="C38" r:id="rId2"/>
    <hyperlink ref="C39" r:id="rId3"/>
    <hyperlink ref="C6" r:id="rId4"/>
    <hyperlink ref="C15" r:id="rId5"/>
    <hyperlink ref="C7" r:id="rId6"/>
    <hyperlink ref="C40" r:id="rId7"/>
    <hyperlink ref="C8" r:id="rId8"/>
    <hyperlink ref="C9" r:id="rId9"/>
    <hyperlink ref="C41" r:id="rId10"/>
    <hyperlink ref="C42" r:id="rId11"/>
    <hyperlink ref="C10" r:id="rId12"/>
    <hyperlink ref="C11" r:id="rId13"/>
    <hyperlink ref="C43" r:id="rId14"/>
    <hyperlink ref="C44" r:id="rId15"/>
    <hyperlink ref="C18" r:id="rId16"/>
    <hyperlink ref="C2" r:id="rId17"/>
    <hyperlink ref="C45" r:id="rId18"/>
    <hyperlink ref="C3" r:id="rId19"/>
    <hyperlink ref="C4" r:id="rId20"/>
    <hyperlink ref="C46" r:id="rId21"/>
    <hyperlink ref="C47" r:id="rId22"/>
    <hyperlink ref="C13" r:id="rId23"/>
    <hyperlink ref="C17" r:id="rId24"/>
    <hyperlink ref="C16" r:id="rId25"/>
    <hyperlink ref="C19" r:id="rId26"/>
    <hyperlink ref="C56" r:id="rId27"/>
    <hyperlink ref="C57" r:id="rId28"/>
    <hyperlink ref="C23" r:id="rId29"/>
    <hyperlink ref="C58" r:id="rId30"/>
    <hyperlink ref="C21" r:id="rId31"/>
    <hyperlink ref="C24" r:id="rId32"/>
    <hyperlink ref="C32" r:id="rId33"/>
    <hyperlink ref="C59" r:id="rId34"/>
    <hyperlink ref="C60" r:id="rId35"/>
    <hyperlink ref="D60" r:id="rId36"/>
    <hyperlink ref="C25" r:id="rId37"/>
    <hyperlink ref="C61" r:id="rId38"/>
    <hyperlink ref="C26" r:id="rId39"/>
    <hyperlink ref="C62" r:id="rId40"/>
    <hyperlink ref="C63" r:id="rId41"/>
    <hyperlink ref="C64" r:id="rId42"/>
    <hyperlink ref="C27" r:id="rId43"/>
    <hyperlink ref="C65" r:id="rId44"/>
    <hyperlink ref="C66" r:id="rId45"/>
    <hyperlink ref="C30" r:id="rId46"/>
    <hyperlink ref="C67" r:id="rId47"/>
    <hyperlink ref="C31" r:id="rId48"/>
    <hyperlink ref="C68" r:id="rId49"/>
    <hyperlink ref="C69" r:id="rId50"/>
    <hyperlink ref="D69" r:id="rId51"/>
    <hyperlink ref="C70" r:id="rId52"/>
    <hyperlink ref="C71" r:id="rId53"/>
  </hyperlinks>
  <pageMargins left="0.7" right="0.7" top="0.75" bottom="0.75" header="0.3" footer="0.3"/>
  <pageSetup paperSize="9" orientation="portrait" r:id="rId5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sqref="A1:XFD2"/>
    </sheetView>
  </sheetViews>
  <sheetFormatPr defaultRowHeight="13.5" x14ac:dyDescent="0.15"/>
  <sheetData>
    <row r="1" spans="1:1" x14ac:dyDescent="0.15">
      <c r="A1" t="s">
        <v>200</v>
      </c>
    </row>
    <row r="2" spans="1:1" x14ac:dyDescent="0.15">
      <c r="A2" t="s">
        <v>201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献立表</vt:lpstr>
      <vt:lpstr>データ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寿陸</dc:creator>
  <cp:lastModifiedBy>寿陸</cp:lastModifiedBy>
  <dcterms:created xsi:type="dcterms:W3CDTF">2020-07-06T10:23:51Z</dcterms:created>
  <dcterms:modified xsi:type="dcterms:W3CDTF">2020-08-19T16:09:11Z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a1de0177-0437-4731-8815-38f197e8e7f7</vt:lpwstr>
  </property>
</Properties>
</file>