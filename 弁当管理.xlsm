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rutopi\040_Program\ExcelVBA\ExcelGit\"/>
    </mc:Choice>
  </mc:AlternateContent>
  <bookViews>
    <workbookView xWindow="0" yWindow="0" windowWidth="28800" windowHeight="12450" activeTab="1"/>
  </bookViews>
  <sheets>
    <sheet name="献立表" sheetId="1" r:id="rId1"/>
    <sheet name="データ" sheetId="2" r:id="rId2"/>
    <sheet name="Sheet1" sheetId="4" r:id="rId3"/>
    <sheet name="Sheet3" sheetId="3" r:id="rId4"/>
  </sheets>
  <functionGroups builtInGroupCount="18"/>
  <definedNames>
    <definedName name="_xlnm._FilterDatabase" localSheetId="1" hidden="1">データ!$A$1:$F$123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9" i="1" l="1"/>
  <c r="M119" i="1"/>
  <c r="L119" i="1"/>
  <c r="K119" i="1"/>
  <c r="N118" i="1"/>
  <c r="M118" i="1"/>
  <c r="L118" i="1"/>
  <c r="K118" i="1"/>
  <c r="N117" i="1"/>
  <c r="M117" i="1"/>
  <c r="L117" i="1"/>
  <c r="K117" i="1"/>
  <c r="N116" i="1"/>
  <c r="M116" i="1"/>
  <c r="L116" i="1"/>
  <c r="K116" i="1"/>
  <c r="N115" i="1"/>
  <c r="M115" i="1"/>
  <c r="L115" i="1"/>
  <c r="K115" i="1"/>
  <c r="E123" i="2"/>
  <c r="B180" i="1" l="1"/>
  <c r="B181" i="1"/>
  <c r="B172" i="1"/>
  <c r="B173" i="1"/>
  <c r="B174" i="1"/>
  <c r="B175" i="1"/>
  <c r="B176" i="1"/>
  <c r="B177" i="1"/>
  <c r="B178" i="1"/>
  <c r="B179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N104" i="1" l="1"/>
  <c r="E121" i="2"/>
  <c r="N105" i="1" l="1"/>
  <c r="M105" i="1"/>
  <c r="L105" i="1"/>
  <c r="K105" i="1"/>
  <c r="M104" i="1"/>
  <c r="L104" i="1"/>
  <c r="K104" i="1"/>
  <c r="N103" i="1"/>
  <c r="M103" i="1"/>
  <c r="L103" i="1"/>
  <c r="K103" i="1"/>
  <c r="N102" i="1"/>
  <c r="M102" i="1"/>
  <c r="L102" i="1"/>
  <c r="K102" i="1"/>
  <c r="N101" i="1"/>
  <c r="M101" i="1"/>
  <c r="L101" i="1"/>
  <c r="K101" i="1"/>
  <c r="E120" i="2"/>
  <c r="E119" i="2"/>
  <c r="E118" i="2"/>
  <c r="N98" i="1" l="1"/>
  <c r="M98" i="1"/>
  <c r="L98" i="1"/>
  <c r="K98" i="1"/>
  <c r="N97" i="1"/>
  <c r="M97" i="1"/>
  <c r="L97" i="1"/>
  <c r="K97" i="1"/>
  <c r="N96" i="1"/>
  <c r="M96" i="1"/>
  <c r="L96" i="1"/>
  <c r="K96" i="1"/>
  <c r="N95" i="1"/>
  <c r="M95" i="1"/>
  <c r="L95" i="1"/>
  <c r="K95" i="1"/>
  <c r="N94" i="1"/>
  <c r="M94" i="1"/>
  <c r="L94" i="1"/>
  <c r="K94" i="1"/>
  <c r="E66" i="2"/>
  <c r="B120" i="1" l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N91" i="1"/>
  <c r="M91" i="1"/>
  <c r="L91" i="1"/>
  <c r="K91" i="1"/>
  <c r="N90" i="1"/>
  <c r="M90" i="1"/>
  <c r="L90" i="1"/>
  <c r="K90" i="1"/>
  <c r="N89" i="1"/>
  <c r="M89" i="1"/>
  <c r="L89" i="1"/>
  <c r="K89" i="1"/>
  <c r="N88" i="1"/>
  <c r="M88" i="1"/>
  <c r="L88" i="1"/>
  <c r="K88" i="1"/>
  <c r="N87" i="1"/>
  <c r="M87" i="1"/>
  <c r="L87" i="1"/>
  <c r="K87" i="1"/>
  <c r="E71" i="2"/>
  <c r="E59" i="2"/>
  <c r="E61" i="2"/>
  <c r="E69" i="2"/>
  <c r="E58" i="2"/>
  <c r="N77" i="1" l="1"/>
  <c r="M77" i="1"/>
  <c r="L77" i="1"/>
  <c r="K77" i="1"/>
  <c r="N76" i="1"/>
  <c r="M76" i="1"/>
  <c r="L76" i="1"/>
  <c r="K76" i="1"/>
  <c r="N75" i="1"/>
  <c r="M75" i="1"/>
  <c r="L75" i="1"/>
  <c r="K75" i="1"/>
  <c r="N74" i="1"/>
  <c r="M74" i="1"/>
  <c r="L74" i="1"/>
  <c r="K74" i="1"/>
  <c r="N73" i="1"/>
  <c r="M73" i="1"/>
  <c r="L73" i="1"/>
  <c r="K73" i="1"/>
  <c r="E86" i="2"/>
  <c r="E85" i="2"/>
  <c r="N70" i="1" l="1"/>
  <c r="M70" i="1"/>
  <c r="L70" i="1"/>
  <c r="K70" i="1"/>
  <c r="N69" i="1"/>
  <c r="M69" i="1"/>
  <c r="L69" i="1"/>
  <c r="K69" i="1"/>
  <c r="N68" i="1"/>
  <c r="M68" i="1"/>
  <c r="L68" i="1"/>
  <c r="K68" i="1"/>
  <c r="N67" i="1"/>
  <c r="M67" i="1"/>
  <c r="L67" i="1"/>
  <c r="K67" i="1"/>
  <c r="N66" i="1"/>
  <c r="M66" i="1"/>
  <c r="L66" i="1"/>
  <c r="K66" i="1"/>
  <c r="E49" i="2"/>
  <c r="E105" i="2"/>
  <c r="E109" i="2"/>
  <c r="E91" i="2"/>
  <c r="E52" i="2"/>
  <c r="E117" i="2"/>
  <c r="E114" i="2"/>
  <c r="E83" i="2"/>
  <c r="E48" i="2"/>
  <c r="E115" i="2"/>
  <c r="E111" i="2"/>
  <c r="N63" i="1" l="1"/>
  <c r="M63" i="1"/>
  <c r="L63" i="1"/>
  <c r="K63" i="1"/>
  <c r="N62" i="1"/>
  <c r="M62" i="1"/>
  <c r="L62" i="1"/>
  <c r="K62" i="1"/>
  <c r="N61" i="1"/>
  <c r="M61" i="1"/>
  <c r="L61" i="1"/>
  <c r="K61" i="1"/>
  <c r="N60" i="1"/>
  <c r="M60" i="1"/>
  <c r="L60" i="1"/>
  <c r="K60" i="1"/>
  <c r="N59" i="1"/>
  <c r="M59" i="1"/>
  <c r="L59" i="1"/>
  <c r="K59" i="1"/>
  <c r="E51" i="2"/>
  <c r="E47" i="2"/>
  <c r="E116" i="2"/>
  <c r="E104" i="2"/>
  <c r="E55" i="2"/>
  <c r="E82" i="2"/>
  <c r="E68" i="2"/>
  <c r="E64" i="2"/>
  <c r="E41" i="2"/>
  <c r="E42" i="2"/>
  <c r="E44" i="2"/>
  <c r="E32" i="2"/>
  <c r="E6" i="2"/>
  <c r="E101" i="2"/>
  <c r="E56" i="2"/>
  <c r="E107" i="2"/>
  <c r="E39" i="2"/>
  <c r="E40" i="2"/>
  <c r="E63" i="2"/>
  <c r="E34" i="2"/>
  <c r="B90" i="1" l="1"/>
  <c r="B91" i="1"/>
  <c r="B92" i="1"/>
  <c r="B93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N56" i="1"/>
  <c r="M56" i="1"/>
  <c r="L56" i="1"/>
  <c r="K56" i="1"/>
  <c r="N55" i="1"/>
  <c r="M55" i="1"/>
  <c r="L55" i="1"/>
  <c r="K55" i="1"/>
  <c r="N54" i="1"/>
  <c r="M54" i="1"/>
  <c r="L54" i="1"/>
  <c r="K54" i="1"/>
  <c r="N53" i="1"/>
  <c r="M53" i="1"/>
  <c r="L53" i="1"/>
  <c r="K53" i="1"/>
  <c r="N52" i="1"/>
  <c r="M52" i="1"/>
  <c r="L52" i="1"/>
  <c r="K52" i="1"/>
  <c r="E18" i="2"/>
  <c r="E92" i="2"/>
  <c r="E43" i="2"/>
  <c r="E110" i="2"/>
  <c r="E72" i="2"/>
  <c r="E29" i="2"/>
  <c r="E89" i="2"/>
  <c r="E112" i="2"/>
  <c r="N49" i="1" l="1"/>
  <c r="M49" i="1"/>
  <c r="L49" i="1"/>
  <c r="K49" i="1"/>
  <c r="N48" i="1"/>
  <c r="M48" i="1"/>
  <c r="L48" i="1"/>
  <c r="K48" i="1"/>
  <c r="N47" i="1"/>
  <c r="M47" i="1"/>
  <c r="L47" i="1"/>
  <c r="K47" i="1"/>
  <c r="N46" i="1"/>
  <c r="M46" i="1"/>
  <c r="L46" i="1"/>
  <c r="K46" i="1"/>
  <c r="N42" i="1"/>
  <c r="M42" i="1"/>
  <c r="L42" i="1"/>
  <c r="K42" i="1"/>
  <c r="N41" i="1"/>
  <c r="M41" i="1"/>
  <c r="L41" i="1"/>
  <c r="K41" i="1"/>
  <c r="N35" i="1"/>
  <c r="M35" i="1"/>
  <c r="L35" i="1"/>
  <c r="K35" i="1"/>
  <c r="N34" i="1"/>
  <c r="M34" i="1"/>
  <c r="L34" i="1"/>
  <c r="K34" i="1"/>
  <c r="N33" i="1"/>
  <c r="M33" i="1"/>
  <c r="L33" i="1"/>
  <c r="K33" i="1"/>
  <c r="N32" i="1"/>
  <c r="M32" i="1"/>
  <c r="L32" i="1"/>
  <c r="K32" i="1"/>
  <c r="N31" i="1"/>
  <c r="M31" i="1"/>
  <c r="L31" i="1"/>
  <c r="K31" i="1"/>
  <c r="N28" i="1"/>
  <c r="M28" i="1"/>
  <c r="L28" i="1"/>
  <c r="K28" i="1"/>
  <c r="N27" i="1"/>
  <c r="M27" i="1"/>
  <c r="L27" i="1"/>
  <c r="K27" i="1"/>
  <c r="N26" i="1"/>
  <c r="M26" i="1"/>
  <c r="L26" i="1"/>
  <c r="K26" i="1"/>
  <c r="N25" i="1"/>
  <c r="M25" i="1"/>
  <c r="L25" i="1"/>
  <c r="K25" i="1"/>
  <c r="N24" i="1"/>
  <c r="M24" i="1"/>
  <c r="L24" i="1"/>
  <c r="K24" i="1"/>
  <c r="N19" i="1"/>
  <c r="M19" i="1"/>
  <c r="L19" i="1"/>
  <c r="K19" i="1"/>
  <c r="N18" i="1"/>
  <c r="M18" i="1"/>
  <c r="L18" i="1"/>
  <c r="K18" i="1"/>
  <c r="N17" i="1"/>
  <c r="M17" i="1"/>
  <c r="L17" i="1"/>
  <c r="K17" i="1"/>
  <c r="K7" i="1"/>
  <c r="N7" i="1"/>
  <c r="M7" i="1"/>
  <c r="L7" i="1"/>
  <c r="N6" i="1"/>
  <c r="M6" i="1"/>
  <c r="L6" i="1"/>
  <c r="K6" i="1"/>
  <c r="N5" i="1"/>
  <c r="M5" i="1"/>
  <c r="L5" i="1"/>
  <c r="K5" i="1"/>
  <c r="N4" i="1"/>
  <c r="M4" i="1"/>
  <c r="L4" i="1"/>
  <c r="K4" i="1"/>
  <c r="N3" i="1"/>
  <c r="M3" i="1"/>
  <c r="L3" i="1"/>
  <c r="K3" i="1"/>
  <c r="N13" i="1"/>
  <c r="M13" i="1"/>
  <c r="L13" i="1"/>
  <c r="K13" i="1"/>
  <c r="N12" i="1"/>
  <c r="M12" i="1"/>
  <c r="L12" i="1"/>
  <c r="K12" i="1"/>
  <c r="N11" i="1"/>
  <c r="M11" i="1"/>
  <c r="L11" i="1"/>
  <c r="K11" i="1"/>
  <c r="N10" i="1"/>
  <c r="M10" i="1"/>
  <c r="L10" i="1"/>
  <c r="K10" i="1"/>
  <c r="N9" i="1"/>
  <c r="M9" i="1"/>
  <c r="L9" i="1"/>
  <c r="K9" i="1"/>
  <c r="E25" i="2"/>
  <c r="E50" i="2"/>
  <c r="E78" i="2"/>
  <c r="E31" i="2"/>
  <c r="E53" i="2"/>
  <c r="E100" i="2"/>
  <c r="E73" i="2"/>
  <c r="E108" i="2"/>
  <c r="E54" i="2"/>
  <c r="E81" i="2"/>
  <c r="E19" i="2"/>
  <c r="E16" i="2"/>
  <c r="E93" i="2"/>
  <c r="E87" i="2"/>
  <c r="E30" i="2"/>
  <c r="E45" i="2"/>
  <c r="E67" i="2"/>
  <c r="E14" i="2"/>
  <c r="E36" i="2"/>
  <c r="E60" i="2"/>
  <c r="E99" i="2"/>
  <c r="E95" i="2"/>
  <c r="E97" i="2"/>
  <c r="E13" i="2"/>
  <c r="E94" i="2"/>
  <c r="E98" i="2"/>
  <c r="E2" i="2"/>
  <c r="E11" i="2"/>
  <c r="E113" i="2"/>
  <c r="E77" i="2"/>
  <c r="E102" i="2"/>
  <c r="E88" i="2"/>
  <c r="E37" i="2"/>
  <c r="E57" i="2"/>
  <c r="E12" i="2"/>
  <c r="E3" i="2"/>
  <c r="E5" i="2"/>
  <c r="E103" i="2"/>
  <c r="E33" i="2"/>
  <c r="E75" i="2"/>
  <c r="E26" i="2"/>
  <c r="E21" i="2"/>
  <c r="E74" i="2"/>
  <c r="E9" i="2"/>
  <c r="E65" i="2"/>
  <c r="E80" i="2"/>
  <c r="E8" i="2"/>
  <c r="E35" i="2"/>
  <c r="E84" i="2"/>
  <c r="E70" i="2"/>
  <c r="E27" i="2"/>
  <c r="E38" i="2"/>
  <c r="E106" i="2"/>
  <c r="E62" i="2"/>
  <c r="E24" i="2"/>
  <c r="E79" i="2"/>
  <c r="E22" i="2"/>
  <c r="E90" i="2"/>
  <c r="E10" i="2"/>
  <c r="E4" i="2"/>
  <c r="E23" i="2"/>
  <c r="E76" i="2"/>
  <c r="E15" i="2"/>
  <c r="E28" i="2"/>
  <c r="E17" i="2"/>
  <c r="E96" i="2"/>
  <c r="E20" i="2"/>
  <c r="E7" i="2"/>
  <c r="E46" i="2"/>
  <c r="L1" i="1" l="1"/>
  <c r="B60" i="1" l="1"/>
  <c r="B61" i="1"/>
  <c r="B62" i="1"/>
  <c r="B63" i="1"/>
  <c r="B64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32" i="1"/>
  <c r="B31" i="1"/>
  <c r="B30" i="1"/>
  <c r="B29" i="1"/>
  <c r="B28" i="1"/>
  <c r="B27" i="1" l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<sst xmlns="http://schemas.openxmlformats.org/spreadsheetml/2006/main" count="697" uniqueCount="365">
  <si>
    <t>弁当管理</t>
    <rPh sb="0" eb="2">
      <t>ベントウ</t>
    </rPh>
    <rPh sb="2" eb="4">
      <t>カンリ</t>
    </rPh>
    <phoneticPr fontId="1"/>
  </si>
  <si>
    <t>主菜（肉）</t>
    <rPh sb="0" eb="2">
      <t>シュサイ</t>
    </rPh>
    <rPh sb="3" eb="4">
      <t>ニク</t>
    </rPh>
    <phoneticPr fontId="1"/>
  </si>
  <si>
    <t>副菜１</t>
    <rPh sb="0" eb="2">
      <t>フクサイ</t>
    </rPh>
    <phoneticPr fontId="1"/>
  </si>
  <si>
    <t>副菜２</t>
    <rPh sb="0" eb="2">
      <t>フクサイ</t>
    </rPh>
    <phoneticPr fontId="1"/>
  </si>
  <si>
    <t>サラダ</t>
  </si>
  <si>
    <t>曜日</t>
    <rPh sb="0" eb="2">
      <t>ヨウビ</t>
    </rPh>
    <phoneticPr fontId="1"/>
  </si>
  <si>
    <t>無限キャベツ</t>
    <rPh sb="0" eb="2">
      <t>ムゲン</t>
    </rPh>
    <phoneticPr fontId="1"/>
  </si>
  <si>
    <t>備考</t>
    <rPh sb="0" eb="2">
      <t>ビコウ</t>
    </rPh>
    <phoneticPr fontId="1"/>
  </si>
  <si>
    <t>ポテトサラダ</t>
    <phoneticPr fontId="1"/>
  </si>
  <si>
    <t>コールスロー</t>
    <phoneticPr fontId="1"/>
  </si>
  <si>
    <t>Ext</t>
    <phoneticPr fontId="1"/>
  </si>
  <si>
    <t>チェリー</t>
    <phoneticPr fontId="1"/>
  </si>
  <si>
    <t>いんげん胡麻和え</t>
    <rPh sb="4" eb="6">
      <t>ゴマ</t>
    </rPh>
    <rPh sb="6" eb="7">
      <t>ア</t>
    </rPh>
    <phoneticPr fontId="1"/>
  </si>
  <si>
    <t>ベビーリーフ</t>
    <phoneticPr fontId="1"/>
  </si>
  <si>
    <t>にら卵焼き</t>
    <rPh sb="2" eb="3">
      <t>タマゴ</t>
    </rPh>
    <rPh sb="3" eb="4">
      <t>ヤ</t>
    </rPh>
    <phoneticPr fontId="1"/>
  </si>
  <si>
    <t>ジャガイモグラタン</t>
    <phoneticPr fontId="1"/>
  </si>
  <si>
    <t>タラをどうにかする</t>
    <phoneticPr fontId="1"/>
  </si>
  <si>
    <t>海の日</t>
    <rPh sb="0" eb="1">
      <t>ウミ</t>
    </rPh>
    <rPh sb="2" eb="3">
      <t>ヒ</t>
    </rPh>
    <phoneticPr fontId="1"/>
  </si>
  <si>
    <t>体育の日</t>
    <rPh sb="0" eb="2">
      <t>タイイク</t>
    </rPh>
    <rPh sb="3" eb="4">
      <t>ヒ</t>
    </rPh>
    <phoneticPr fontId="1"/>
  </si>
  <si>
    <t>https://www.kurashiru.com/recipes/8151aa7f-173a-418a-9287-efb1ab15442c</t>
    <phoneticPr fontId="1"/>
  </si>
  <si>
    <t>https://cookpad.com/recipe/3755038</t>
  </si>
  <si>
    <t>https://www.kurashiru.com/recipes/ded0d347-2d6e-4304-b19c-8e26b195efc6</t>
  </si>
  <si>
    <t>キャベツと豚肉味噌炒め</t>
    <rPh sb="5" eb="7">
      <t>ブタニク</t>
    </rPh>
    <rPh sb="7" eb="9">
      <t>ミソ</t>
    </rPh>
    <rPh sb="9" eb="10">
      <t>イタ</t>
    </rPh>
    <phoneticPr fontId="1"/>
  </si>
  <si>
    <t>https://cookpad.com/recipe/3051913</t>
  </si>
  <si>
    <t>https://www.sirogohan.com/recipe/gomaaeingen/</t>
  </si>
  <si>
    <t>https://www.lettuceclub.net/recipe/dish/21817/</t>
  </si>
  <si>
    <t>https://www.kurashiru.com/recipes/65cc8e11-3eab-491f-8745-c89fe560c0b3</t>
  </si>
  <si>
    <t>-</t>
    <phoneticPr fontId="1"/>
  </si>
  <si>
    <t>-</t>
    <phoneticPr fontId="1"/>
  </si>
  <si>
    <t>インゲンとニラをどうにかする</t>
    <phoneticPr fontId="1"/>
  </si>
  <si>
    <t>https://delishkitchen.tv/recipes/138644772133798387</t>
  </si>
  <si>
    <t>FLG</t>
    <phoneticPr fontId="1"/>
  </si>
  <si>
    <t>タラのムニエル</t>
    <phoneticPr fontId="1"/>
  </si>
  <si>
    <t>インゲンチーズ巻き</t>
    <rPh sb="7" eb="8">
      <t>マ</t>
    </rPh>
    <phoneticPr fontId="1"/>
  </si>
  <si>
    <t>https://www.kikkoman.co.jp/homecook/search/recipe/00003460/index.html</t>
  </si>
  <si>
    <t>クルトンサラダ</t>
    <phoneticPr fontId="1"/>
  </si>
  <si>
    <t>-</t>
    <phoneticPr fontId="1"/>
  </si>
  <si>
    <t>ベビーリーフ&amp;レタス</t>
    <phoneticPr fontId="1"/>
  </si>
  <si>
    <t>https://erecipe.woman.excite.co.jp/detail/085b34985b5996cae86a5845741cb9ad.html</t>
  </si>
  <si>
    <t>エビニラ玉</t>
    <rPh sb="4" eb="5">
      <t>タマ</t>
    </rPh>
    <phoneticPr fontId="1"/>
  </si>
  <si>
    <t>マカロニサラダ</t>
    <phoneticPr fontId="1"/>
  </si>
  <si>
    <t>玉ねぎ麺つゆ和え</t>
    <rPh sb="0" eb="1">
      <t>タマ</t>
    </rPh>
    <rPh sb="3" eb="4">
      <t>メン</t>
    </rPh>
    <rPh sb="6" eb="7">
      <t>ア</t>
    </rPh>
    <phoneticPr fontId="1"/>
  </si>
  <si>
    <t>https://erecipe.woman.excite.co.jp/detail/fde8f563a0aef69c2a9ba45f208fb747.html</t>
  </si>
  <si>
    <t>（冷食）</t>
    <rPh sb="1" eb="3">
      <t>レイショク</t>
    </rPh>
    <phoneticPr fontId="1"/>
  </si>
  <si>
    <t>ささみ照り焼き</t>
    <rPh sb="3" eb="4">
      <t>テ</t>
    </rPh>
    <rPh sb="5" eb="6">
      <t>ヤ</t>
    </rPh>
    <phoneticPr fontId="1"/>
  </si>
  <si>
    <t>ささみ梅チーズ</t>
    <rPh sb="3" eb="4">
      <t>ウメ</t>
    </rPh>
    <phoneticPr fontId="1"/>
  </si>
  <si>
    <t>鶏モモマヨポン酢</t>
    <rPh sb="0" eb="1">
      <t>トリ</t>
    </rPh>
    <rPh sb="7" eb="8">
      <t>ズ</t>
    </rPh>
    <phoneticPr fontId="1"/>
  </si>
  <si>
    <t>https://recipe.rakuten.co.jp/recipe/1350003354/</t>
  </si>
  <si>
    <t>https://oceans-nadia.com/user/10816/recipe/147841</t>
  </si>
  <si>
    <t>鶏モモマスタード焼き</t>
    <rPh sb="0" eb="1">
      <t>トリ</t>
    </rPh>
    <rPh sb="8" eb="9">
      <t>ヤ</t>
    </rPh>
    <phoneticPr fontId="1"/>
  </si>
  <si>
    <t>https://cookpad.com/recipe/1035743</t>
  </si>
  <si>
    <t>鶏モモチャーシュー</t>
    <rPh sb="0" eb="1">
      <t>トリ</t>
    </rPh>
    <phoneticPr fontId="1"/>
  </si>
  <si>
    <t>ウィンナーサラダ</t>
    <phoneticPr fontId="1"/>
  </si>
  <si>
    <t>豚ニラもやし</t>
    <rPh sb="0" eb="1">
      <t>ブタ</t>
    </rPh>
    <phoneticPr fontId="1"/>
  </si>
  <si>
    <t>人参明太子</t>
    <rPh sb="0" eb="2">
      <t>ニンジン</t>
    </rPh>
    <rPh sb="2" eb="5">
      <t>メンタイコ</t>
    </rPh>
    <phoneticPr fontId="1"/>
  </si>
  <si>
    <t>インゲンおかかマヨ和え</t>
    <rPh sb="9" eb="10">
      <t>ア</t>
    </rPh>
    <phoneticPr fontId="1"/>
  </si>
  <si>
    <t>桃</t>
    <rPh sb="0" eb="1">
      <t>モモ</t>
    </rPh>
    <phoneticPr fontId="1"/>
  </si>
  <si>
    <t>枝豆卵焼き</t>
    <rPh sb="0" eb="2">
      <t>エダマメ</t>
    </rPh>
    <rPh sb="2" eb="4">
      <t>タマゴヤ</t>
    </rPh>
    <phoneticPr fontId="1"/>
  </si>
  <si>
    <t>-</t>
    <phoneticPr fontId="1"/>
  </si>
  <si>
    <t>-</t>
    <phoneticPr fontId="1"/>
  </si>
  <si>
    <t>茹で卵サラダ</t>
    <rPh sb="0" eb="1">
      <t>ユ</t>
    </rPh>
    <rPh sb="2" eb="3">
      <t>タマゴ</t>
    </rPh>
    <phoneticPr fontId="1"/>
  </si>
  <si>
    <t>-</t>
    <phoneticPr fontId="1"/>
  </si>
  <si>
    <t>えびピラフ</t>
  </si>
  <si>
    <t>https://delishkitchen.tv/recipes/136186547786482049</t>
  </si>
  <si>
    <t>(冷食)</t>
    <rPh sb="1" eb="3">
      <t>レイショク</t>
    </rPh>
    <phoneticPr fontId="1"/>
  </si>
  <si>
    <t>マカロニサラダ</t>
    <phoneticPr fontId="1"/>
  </si>
  <si>
    <t>https://www.kewpie.co.jp/recipes/basicsalad/salad02/</t>
    <phoneticPr fontId="1"/>
  </si>
  <si>
    <t>枝豆卵焼き</t>
    <rPh sb="0" eb="4">
      <t>エダマメタマゴヤ</t>
    </rPh>
    <phoneticPr fontId="1"/>
  </si>
  <si>
    <t>https://oceans-nadia.com/user/196104/recipe/376279</t>
  </si>
  <si>
    <t>https://recipe.shidax.co.jp/recipe/detail/112</t>
  </si>
  <si>
    <t>ささみ梅しそチーズ</t>
    <rPh sb="3" eb="4">
      <t>ウメ</t>
    </rPh>
    <phoneticPr fontId="1"/>
  </si>
  <si>
    <t>玉ねぎグラタン</t>
    <rPh sb="0" eb="1">
      <t>タマ</t>
    </rPh>
    <phoneticPr fontId="1"/>
  </si>
  <si>
    <t>https://cookpad.com/recipe/1835031</t>
  </si>
  <si>
    <t>玉ねぎ味噌炒め</t>
    <rPh sb="0" eb="1">
      <t>タマ</t>
    </rPh>
    <rPh sb="3" eb="5">
      <t>ミソ</t>
    </rPh>
    <rPh sb="5" eb="6">
      <t>イタ</t>
    </rPh>
    <phoneticPr fontId="1"/>
  </si>
  <si>
    <t>https://cookpad.com/recipe/3742383</t>
  </si>
  <si>
    <t>ゆで卵サラダ</t>
    <rPh sb="2" eb="3">
      <t>タマゴ</t>
    </rPh>
    <phoneticPr fontId="1"/>
  </si>
  <si>
    <t>豚肉照り焼き炒め</t>
    <rPh sb="0" eb="2">
      <t>ブタニク</t>
    </rPh>
    <rPh sb="2" eb="3">
      <t>テ</t>
    </rPh>
    <rPh sb="4" eb="5">
      <t>ヤ</t>
    </rPh>
    <rPh sb="6" eb="7">
      <t>イタ</t>
    </rPh>
    <phoneticPr fontId="1"/>
  </si>
  <si>
    <t>https://cookpad.com/recipe/1924454</t>
  </si>
  <si>
    <t>ニラ卵焼き</t>
    <rPh sb="2" eb="4">
      <t>タマゴヤ</t>
    </rPh>
    <phoneticPr fontId="1"/>
  </si>
  <si>
    <t>ジャガイモグラタン</t>
    <phoneticPr fontId="1"/>
  </si>
  <si>
    <t>いんげん胡麻和え</t>
    <rPh sb="4" eb="6">
      <t>ゴマ</t>
    </rPh>
    <rPh sb="6" eb="7">
      <t>ア</t>
    </rPh>
    <phoneticPr fontId="1"/>
  </si>
  <si>
    <t>キャベツ豚味噌炒め</t>
    <rPh sb="4" eb="5">
      <t>ブタ</t>
    </rPh>
    <rPh sb="5" eb="7">
      <t>ミソ</t>
    </rPh>
    <rPh sb="7" eb="8">
      <t>イタ</t>
    </rPh>
    <phoneticPr fontId="1"/>
  </si>
  <si>
    <t>無限キャベツ</t>
    <rPh sb="0" eb="2">
      <t>ムゲン</t>
    </rPh>
    <phoneticPr fontId="1"/>
  </si>
  <si>
    <t>https://daidokolog.pal-system.co.jp/recipe/318</t>
    <phoneticPr fontId="1"/>
  </si>
  <si>
    <t>インゲンおかかマヨ</t>
    <phoneticPr fontId="1"/>
  </si>
  <si>
    <t>エビニラ炒め</t>
    <rPh sb="4" eb="5">
      <t>イタ</t>
    </rPh>
    <phoneticPr fontId="1"/>
  </si>
  <si>
    <t>URL</t>
  </si>
  <si>
    <t>(冷食)</t>
    <rPh sb="1" eb="3">
      <t>レイショク</t>
    </rPh>
    <phoneticPr fontId="1"/>
  </si>
  <si>
    <t>ハムサラダ</t>
    <phoneticPr fontId="1"/>
  </si>
  <si>
    <t>チーズ卵焼き</t>
    <rPh sb="3" eb="5">
      <t>タマゴヤ</t>
    </rPh>
    <phoneticPr fontId="1"/>
  </si>
  <si>
    <t>https://recipe.rakuten.co.jp/recipe/1170005693/</t>
    <phoneticPr fontId="1"/>
  </si>
  <si>
    <t>https://delishkitchen.tv/recipes/135175461851365761</t>
  </si>
  <si>
    <t>ジャガイモベーコン巻き</t>
    <rPh sb="9" eb="10">
      <t>マ</t>
    </rPh>
    <phoneticPr fontId="1"/>
  </si>
  <si>
    <t>ブロッコリーサラダ</t>
    <phoneticPr fontId="1"/>
  </si>
  <si>
    <t>きゅうりとツナのサラダ</t>
    <phoneticPr fontId="1"/>
  </si>
  <si>
    <t>名称</t>
    <rPh sb="0" eb="2">
      <t>メイショウ</t>
    </rPh>
    <phoneticPr fontId="1"/>
  </si>
  <si>
    <t>リンク</t>
    <phoneticPr fontId="1"/>
  </si>
  <si>
    <t>https://recipe.rakuten.co.jp/recipe/1370011990/</t>
  </si>
  <si>
    <t>豚肉ピーマンオイスターソース</t>
    <rPh sb="0" eb="2">
      <t>ブタニク</t>
    </rPh>
    <phoneticPr fontId="1"/>
  </si>
  <si>
    <t>(ピラフ)</t>
    <phoneticPr fontId="1"/>
  </si>
  <si>
    <t>クルトンサラダ</t>
    <phoneticPr fontId="1"/>
  </si>
  <si>
    <t>https://cookpad.com/recipe/2398093</t>
  </si>
  <si>
    <t>鶏むね肉サッパリ煮</t>
    <rPh sb="0" eb="1">
      <t>トリ</t>
    </rPh>
    <rPh sb="3" eb="4">
      <t>ニク</t>
    </rPh>
    <rPh sb="8" eb="9">
      <t>ニ</t>
    </rPh>
    <phoneticPr fontId="1"/>
  </si>
  <si>
    <t>ジャガイモグラタン</t>
    <phoneticPr fontId="1"/>
  </si>
  <si>
    <t>魚使ってく</t>
    <rPh sb="0" eb="1">
      <t>サカナ</t>
    </rPh>
    <rPh sb="1" eb="2">
      <t>ツカ</t>
    </rPh>
    <phoneticPr fontId="1"/>
  </si>
  <si>
    <t>FLG</t>
  </si>
  <si>
    <t>ハムサラダ</t>
    <phoneticPr fontId="1"/>
  </si>
  <si>
    <t>きゅうりとツナのサラダ</t>
    <phoneticPr fontId="1"/>
  </si>
  <si>
    <t>クルトンサラダ</t>
    <phoneticPr fontId="1"/>
  </si>
  <si>
    <t>コールスローサラダ</t>
    <phoneticPr fontId="1"/>
  </si>
  <si>
    <t>エビアボカドサラダ</t>
    <phoneticPr fontId="1"/>
  </si>
  <si>
    <t>ゆで卵サラダ</t>
    <rPh sb="2" eb="3">
      <t>タマゴ</t>
    </rPh>
    <phoneticPr fontId="1"/>
  </si>
  <si>
    <t>じゃこサラダ</t>
    <phoneticPr fontId="1"/>
  </si>
  <si>
    <t>ポテトサラダ</t>
    <phoneticPr fontId="1"/>
  </si>
  <si>
    <t>ウィンナーサラダ</t>
    <phoneticPr fontId="1"/>
  </si>
  <si>
    <t>レタスサラダ</t>
    <phoneticPr fontId="1"/>
  </si>
  <si>
    <t>チキンサラダ</t>
    <phoneticPr fontId="1"/>
  </si>
  <si>
    <t>主菜</t>
    <rPh sb="0" eb="2">
      <t>シュサイ</t>
    </rPh>
    <phoneticPr fontId="1"/>
  </si>
  <si>
    <t>副菜</t>
    <rPh sb="0" eb="2">
      <t>フクサイ</t>
    </rPh>
    <phoneticPr fontId="1"/>
  </si>
  <si>
    <t>米</t>
    <rPh sb="0" eb="1">
      <t>コメ</t>
    </rPh>
    <phoneticPr fontId="1"/>
  </si>
  <si>
    <t>サラダ</t>
    <phoneticPr fontId="1"/>
  </si>
  <si>
    <t>ベーコンサラダ</t>
    <phoneticPr fontId="1"/>
  </si>
  <si>
    <t>焼きウィンナー</t>
    <rPh sb="0" eb="1">
      <t>ヤ</t>
    </rPh>
    <phoneticPr fontId="1"/>
  </si>
  <si>
    <t>ハンバーグ</t>
    <phoneticPr fontId="1"/>
  </si>
  <si>
    <t>人参しりしり</t>
    <rPh sb="0" eb="2">
      <t>ニンジン</t>
    </rPh>
    <phoneticPr fontId="1"/>
  </si>
  <si>
    <t>厚揚げゴマ照り焼き</t>
    <rPh sb="0" eb="2">
      <t>アツア</t>
    </rPh>
    <rPh sb="5" eb="6">
      <t>テ</t>
    </rPh>
    <rPh sb="7" eb="8">
      <t>ヤ</t>
    </rPh>
    <phoneticPr fontId="1"/>
  </si>
  <si>
    <t>https://cookpad.com/recipe/2986341</t>
  </si>
  <si>
    <t>https://recipe.rakuten.co.jp/recipe/1340001099/</t>
  </si>
  <si>
    <t>油揚げと青梗菜オイスターソース</t>
    <rPh sb="0" eb="2">
      <t>アブラア</t>
    </rPh>
    <rPh sb="4" eb="7">
      <t>チンゲンサイ</t>
    </rPh>
    <phoneticPr fontId="1"/>
  </si>
  <si>
    <t>しめじバターポン酢</t>
    <rPh sb="8" eb="9">
      <t>ズ</t>
    </rPh>
    <phoneticPr fontId="1"/>
  </si>
  <si>
    <t>https://recipe.shidax.co.jp/recipe/outline/241</t>
  </si>
  <si>
    <t>https://recipe.rakuten.co.jp/recipe/1850008421/?l-id=recipe_list_detail_recipe</t>
  </si>
  <si>
    <t>ピーマンしめじ胡麻和え</t>
    <rPh sb="7" eb="9">
      <t>ゴマ</t>
    </rPh>
    <rPh sb="9" eb="10">
      <t>ア</t>
    </rPh>
    <phoneticPr fontId="1"/>
  </si>
  <si>
    <t>だし巻き卵</t>
    <rPh sb="2" eb="3">
      <t>マ</t>
    </rPh>
    <rPh sb="4" eb="5">
      <t>タマゴ</t>
    </rPh>
    <phoneticPr fontId="1"/>
  </si>
  <si>
    <t>FLG</t>
    <phoneticPr fontId="1"/>
  </si>
  <si>
    <t>山の日</t>
    <rPh sb="0" eb="1">
      <t>ヤマ</t>
    </rPh>
    <rPh sb="2" eb="3">
      <t>ヒ</t>
    </rPh>
    <phoneticPr fontId="1"/>
  </si>
  <si>
    <t>(冷食)</t>
    <rPh sb="1" eb="3">
      <t>レイショク</t>
    </rPh>
    <phoneticPr fontId="1"/>
  </si>
  <si>
    <t>ベーコン卵焼き</t>
    <rPh sb="4" eb="6">
      <t>タマゴヤ</t>
    </rPh>
    <phoneticPr fontId="1"/>
  </si>
  <si>
    <t>ピーマンおかか和え</t>
    <rPh sb="7" eb="8">
      <t>ア</t>
    </rPh>
    <phoneticPr fontId="1"/>
  </si>
  <si>
    <t>https://oceans-nadia.com/user/22780/recipe/375032</t>
  </si>
  <si>
    <t>https://cookpad.com/recipe/614608</t>
  </si>
  <si>
    <t>副菜３orサラダ</t>
    <rPh sb="0" eb="2">
      <t>フクサイ</t>
    </rPh>
    <phoneticPr fontId="1"/>
  </si>
  <si>
    <t>じゃこサラダ</t>
    <phoneticPr fontId="1"/>
  </si>
  <si>
    <t>鶏むねケチャップ炒め</t>
    <rPh sb="0" eb="1">
      <t>トリ</t>
    </rPh>
    <rPh sb="8" eb="9">
      <t>イタ</t>
    </rPh>
    <phoneticPr fontId="1"/>
  </si>
  <si>
    <t>https://cookpad.com/recipe/1828106</t>
  </si>
  <si>
    <t>鶏むねうま塩チキン</t>
    <rPh sb="0" eb="1">
      <t>トリ</t>
    </rPh>
    <rPh sb="5" eb="6">
      <t>シオ</t>
    </rPh>
    <phoneticPr fontId="1"/>
  </si>
  <si>
    <t>http://yuu-stylish-bar.blog.jp/archives/1073705429.html</t>
  </si>
  <si>
    <t>鶏むね味噌マヨ焼き</t>
    <rPh sb="0" eb="1">
      <t>トリ</t>
    </rPh>
    <rPh sb="3" eb="5">
      <t>ミソ</t>
    </rPh>
    <rPh sb="7" eb="8">
      <t>ヤ</t>
    </rPh>
    <phoneticPr fontId="1"/>
  </si>
  <si>
    <t>http://www.lettuceclub.net/recipe/dish/19268/</t>
  </si>
  <si>
    <t>豚ひき肉ネギ味噌つくね</t>
    <rPh sb="0" eb="1">
      <t>ブタ</t>
    </rPh>
    <rPh sb="3" eb="4">
      <t>ニク</t>
    </rPh>
    <rPh sb="6" eb="8">
      <t>ミソ</t>
    </rPh>
    <phoneticPr fontId="1"/>
  </si>
  <si>
    <t>https://oceans-nadia.com/user/14996/recipe/115977</t>
  </si>
  <si>
    <t>主菜</t>
    <rPh sb="0" eb="2">
      <t>シュサイ</t>
    </rPh>
    <phoneticPr fontId="1"/>
  </si>
  <si>
    <t>ジャガイモとコーンのチヂミ</t>
    <phoneticPr fontId="1"/>
  </si>
  <si>
    <t>https://hugkum.sho.jp/61262</t>
  </si>
  <si>
    <t>ジャガイモマッシュポテト</t>
  </si>
  <si>
    <t>ジャガイモマッシュポテト</t>
    <phoneticPr fontId="1"/>
  </si>
  <si>
    <t>https://erecipe.woman.excite.co.jp/detail/31accf72b2a9321a816ed603e30e89c4.html</t>
  </si>
  <si>
    <t>ジャガイモたらこ炒め</t>
    <rPh sb="8" eb="9">
      <t>イタ</t>
    </rPh>
    <phoneticPr fontId="1"/>
  </si>
  <si>
    <t>ジャガイモカレー炒め</t>
    <rPh sb="8" eb="9">
      <t>イタ</t>
    </rPh>
    <phoneticPr fontId="1"/>
  </si>
  <si>
    <t>ジャガイモ麺つゆバター煮</t>
    <rPh sb="5" eb="6">
      <t>メン</t>
    </rPh>
    <rPh sb="11" eb="12">
      <t>ニ</t>
    </rPh>
    <phoneticPr fontId="1"/>
  </si>
  <si>
    <t>https://oceans-nadia.com/user/22780/recipe/244747</t>
  </si>
  <si>
    <t>コーンサラダ</t>
  </si>
  <si>
    <t>コーンサラダ</t>
    <phoneticPr fontId="1"/>
  </si>
  <si>
    <t>https://oceans-nadia.com/user/21965/recipe/191133</t>
  </si>
  <si>
    <t>人参コーンコンソメ炒め</t>
    <rPh sb="0" eb="2">
      <t>ニンジン</t>
    </rPh>
    <rPh sb="9" eb="10">
      <t>イタ</t>
    </rPh>
    <phoneticPr fontId="1"/>
  </si>
  <si>
    <t>ナス照り焼き</t>
    <rPh sb="2" eb="3">
      <t>テ</t>
    </rPh>
    <rPh sb="4" eb="5">
      <t>ヤ</t>
    </rPh>
    <phoneticPr fontId="1"/>
  </si>
  <si>
    <t>ナスのきんぴら</t>
    <phoneticPr fontId="1"/>
  </si>
  <si>
    <t>https://cookpad.com/recipe/1191363</t>
  </si>
  <si>
    <t>https://delishkitchen.tv/recipes/146145683223609818</t>
  </si>
  <si>
    <t>FLG</t>
    <phoneticPr fontId="1"/>
  </si>
  <si>
    <t>natsu</t>
    <phoneticPr fontId="1"/>
  </si>
  <si>
    <t>https://cookpad.com/recipe/2962989</t>
  </si>
  <si>
    <t>豆苗と豚バラのうま味炒め</t>
    <rPh sb="0" eb="2">
      <t>トウミョウ</t>
    </rPh>
    <rPh sb="3" eb="4">
      <t>ブタ</t>
    </rPh>
    <rPh sb="9" eb="10">
      <t>ミ</t>
    </rPh>
    <rPh sb="10" eb="11">
      <t>イタ</t>
    </rPh>
    <phoneticPr fontId="1"/>
  </si>
  <si>
    <t>FLG</t>
    <phoneticPr fontId="1"/>
  </si>
  <si>
    <t>ほうれん草のお浸し</t>
    <rPh sb="4" eb="5">
      <t>ソウ</t>
    </rPh>
    <rPh sb="7" eb="8">
      <t>ヒタ</t>
    </rPh>
    <phoneticPr fontId="1"/>
  </si>
  <si>
    <t>https://www.sirogohan.com/recipe/ohitasi/</t>
  </si>
  <si>
    <t>ゆで卵サラダ</t>
    <rPh sb="2" eb="3">
      <t>タマゴ</t>
    </rPh>
    <phoneticPr fontId="1"/>
  </si>
  <si>
    <t>ベビーリーフ</t>
    <phoneticPr fontId="1"/>
  </si>
  <si>
    <t>https://cookpad.com/recipe/1605247</t>
  </si>
  <si>
    <t>ほうれん草コーンバター炒め</t>
    <rPh sb="4" eb="5">
      <t>ソウ</t>
    </rPh>
    <rPh sb="11" eb="12">
      <t>イタ</t>
    </rPh>
    <phoneticPr fontId="1"/>
  </si>
  <si>
    <t>(冷食)</t>
    <rPh sb="1" eb="3">
      <t>レイショク</t>
    </rPh>
    <phoneticPr fontId="1"/>
  </si>
  <si>
    <t>だし巻き卵</t>
    <rPh sb="2" eb="3">
      <t>マ</t>
    </rPh>
    <rPh sb="4" eb="5">
      <t>タマゴ</t>
    </rPh>
    <phoneticPr fontId="1"/>
  </si>
  <si>
    <t>ナス煮びたし</t>
    <rPh sb="2" eb="3">
      <t>ニ</t>
    </rPh>
    <phoneticPr fontId="1"/>
  </si>
  <si>
    <t>梅しそ鶏ハム</t>
    <rPh sb="0" eb="1">
      <t>ウメ</t>
    </rPh>
    <rPh sb="3" eb="4">
      <t>トリ</t>
    </rPh>
    <phoneticPr fontId="1"/>
  </si>
  <si>
    <t>豆苗サラダ</t>
    <rPh sb="0" eb="2">
      <t>トウミョウ</t>
    </rPh>
    <phoneticPr fontId="1"/>
  </si>
  <si>
    <t>豆苗やみつきサラダ</t>
    <rPh sb="0" eb="2">
      <t>トウミョウ</t>
    </rPh>
    <phoneticPr fontId="1"/>
  </si>
  <si>
    <t>https://oceans-nadia.com/user/22084/recipe/146462</t>
  </si>
  <si>
    <t>分類</t>
    <rPh sb="0" eb="2">
      <t>ブンルイ</t>
    </rPh>
    <phoneticPr fontId="1"/>
  </si>
  <si>
    <t>人参しりしり</t>
    <rPh sb="0" eb="2">
      <t>ニンジン</t>
    </rPh>
    <phoneticPr fontId="1"/>
  </si>
  <si>
    <t>natsu</t>
    <phoneticPr fontId="1"/>
  </si>
  <si>
    <t>？？？</t>
    <phoneticPr fontId="1"/>
  </si>
  <si>
    <t>https://cookpad.com/recipe/389864</t>
  </si>
  <si>
    <t>なすの生姜醤油</t>
    <rPh sb="3" eb="5">
      <t>ショウガ</t>
    </rPh>
    <rPh sb="5" eb="7">
      <t>ジョウユ</t>
    </rPh>
    <phoneticPr fontId="1"/>
  </si>
  <si>
    <t>https://daidokolog.pal-system.co.jp/recipe/3310</t>
  </si>
  <si>
    <t>豆苗サラダ</t>
    <rPh sb="0" eb="2">
      <t>トウミョウ</t>
    </rPh>
    <phoneticPr fontId="1"/>
  </si>
  <si>
    <t>https://twitter.com/igarashi_yukari/status/1256147863194578945</t>
  </si>
  <si>
    <t>なすの焼肉</t>
    <rPh sb="3" eb="5">
      <t>ヤキニク</t>
    </rPh>
    <phoneticPr fontId="1"/>
  </si>
  <si>
    <t>・プルダウンメニュー選択できるようにする</t>
    <rPh sb="10" eb="12">
      <t>センタク</t>
    </rPh>
    <phoneticPr fontId="1"/>
  </si>
  <si>
    <t>・メニュー候補を出せるようにする（フォーム？</t>
    <rPh sb="5" eb="7">
      <t>コウホ</t>
    </rPh>
    <rPh sb="8" eb="9">
      <t>ダ</t>
    </rPh>
    <phoneticPr fontId="1"/>
  </si>
  <si>
    <t>鶏むね梅チーズハム</t>
    <rPh sb="0" eb="1">
      <t>トリ</t>
    </rPh>
    <rPh sb="3" eb="4">
      <t>ウメ</t>
    </rPh>
    <phoneticPr fontId="1"/>
  </si>
  <si>
    <t>https://cookpad.com/recipe/4711892</t>
  </si>
  <si>
    <t>最近作った日</t>
    <rPh sb="0" eb="2">
      <t>サイキン</t>
    </rPh>
    <rPh sb="2" eb="3">
      <t>ツク</t>
    </rPh>
    <rPh sb="5" eb="6">
      <t>ヒ</t>
    </rPh>
    <phoneticPr fontId="1"/>
  </si>
  <si>
    <t>ブロッコリーサラダ</t>
    <phoneticPr fontId="1"/>
  </si>
  <si>
    <t>https://www.kikkoman.co.jp/homecook/search/recipe/00006292/index.html</t>
  </si>
  <si>
    <t>(冷食)</t>
    <rPh sb="1" eb="3">
      <t>レイショク</t>
    </rPh>
    <phoneticPr fontId="1"/>
  </si>
  <si>
    <t>ほうれん草卵焼き</t>
    <rPh sb="4" eb="5">
      <t>ソウ</t>
    </rPh>
    <rPh sb="5" eb="7">
      <t>タマゴヤ</t>
    </rPh>
    <phoneticPr fontId="1"/>
  </si>
  <si>
    <t>水菜のチキンサラダ</t>
    <rPh sb="0" eb="2">
      <t>ミズナ</t>
    </rPh>
    <phoneticPr fontId="1"/>
  </si>
  <si>
    <t>レタスアボカドチョレギサラダ</t>
  </si>
  <si>
    <t>レタスアボカドチョレギサラダ</t>
    <phoneticPr fontId="1"/>
  </si>
  <si>
    <t>https://delishkitchen.tv/recipes/209641815668687270</t>
  </si>
  <si>
    <t>https://cookpad.com/recipe/5716570</t>
  </si>
  <si>
    <t>鶏つくね団子</t>
    <rPh sb="0" eb="1">
      <t>トリ</t>
    </rPh>
    <rPh sb="4" eb="6">
      <t>ダンゴ</t>
    </rPh>
    <phoneticPr fontId="1"/>
  </si>
  <si>
    <t>？？？</t>
    <phoneticPr fontId="1"/>
  </si>
  <si>
    <t>(冷食_魚)</t>
    <rPh sb="1" eb="3">
      <t>レイショク</t>
    </rPh>
    <rPh sb="4" eb="5">
      <t>サカナ</t>
    </rPh>
    <phoneticPr fontId="1"/>
  </si>
  <si>
    <t>ごぼうの甘辛</t>
    <rPh sb="4" eb="6">
      <t>アマカラ</t>
    </rPh>
    <phoneticPr fontId="1"/>
  </si>
  <si>
    <t>https://oceans-nadia.com/user/140559/recipe/342607</t>
  </si>
  <si>
    <t>ゆで卵サラダ</t>
    <rPh sb="2" eb="3">
      <t>タマゴ</t>
    </rPh>
    <phoneticPr fontId="1"/>
  </si>
  <si>
    <t>大根とツナのマヨポンサラダ</t>
    <rPh sb="0" eb="2">
      <t>ダイコン</t>
    </rPh>
    <phoneticPr fontId="1"/>
  </si>
  <si>
    <t>https://www.kurashiru.com/recipes/b0785e60-929a-465a-a63e-e52797c0cf59</t>
  </si>
  <si>
    <t>もやしと豆苗の豚しゃぶサラダ</t>
    <rPh sb="4" eb="6">
      <t>トウミョウ</t>
    </rPh>
    <rPh sb="7" eb="8">
      <t>ブタ</t>
    </rPh>
    <phoneticPr fontId="1"/>
  </si>
  <si>
    <t>https://www.kurashiru.com/recipes/6a9b09a5-4492-47d7-941d-00e5f91afb2a</t>
  </si>
  <si>
    <t>中華風春雨サラダ</t>
    <rPh sb="0" eb="3">
      <t>チュウカフウ</t>
    </rPh>
    <rPh sb="3" eb="5">
      <t>ハルサメ</t>
    </rPh>
    <phoneticPr fontId="1"/>
  </si>
  <si>
    <t>https://www.kurashiru.com/recipes/492e9129-8a3d-4c98-ad2b-067b7962ccf0</t>
  </si>
  <si>
    <t>(コノミヤの既製品)</t>
    <rPh sb="6" eb="9">
      <t>キセイヒン</t>
    </rPh>
    <phoneticPr fontId="1"/>
  </si>
  <si>
    <t>主菜</t>
    <rPh sb="0" eb="2">
      <t>シュサイ</t>
    </rPh>
    <phoneticPr fontId="1"/>
  </si>
  <si>
    <t>備考</t>
    <rPh sb="0" eb="2">
      <t>ビコウ</t>
    </rPh>
    <phoneticPr fontId="1"/>
  </si>
  <si>
    <t>ドレッシング別</t>
    <rPh sb="6" eb="7">
      <t>ベツ</t>
    </rPh>
    <phoneticPr fontId="1"/>
  </si>
  <si>
    <t>ほうれん草サラダ</t>
    <rPh sb="4" eb="5">
      <t>ソウ</t>
    </rPh>
    <phoneticPr fontId="1"/>
  </si>
  <si>
    <t>ほうれん草サラダ</t>
    <rPh sb="4" eb="5">
      <t>ソウ</t>
    </rPh>
    <phoneticPr fontId="1"/>
  </si>
  <si>
    <t>だし巻き卵</t>
    <rPh sb="2" eb="3">
      <t>マ</t>
    </rPh>
    <rPh sb="4" eb="5">
      <t>タマゴ</t>
    </rPh>
    <phoneticPr fontId="1"/>
  </si>
  <si>
    <t>シャインマスカット</t>
    <phoneticPr fontId="1"/>
  </si>
  <si>
    <t>-</t>
    <phoneticPr fontId="1"/>
  </si>
  <si>
    <t>ちくわと海苔のサラダ</t>
    <rPh sb="4" eb="6">
      <t>ノリ</t>
    </rPh>
    <phoneticPr fontId="1"/>
  </si>
  <si>
    <t>ごぼうメニュー</t>
    <phoneticPr fontId="1"/>
  </si>
  <si>
    <t>https://matome.naver.jp/odai/2136185366713037101</t>
    <phoneticPr fontId="1"/>
  </si>
  <si>
    <t>ごぼうの胡麻和え</t>
    <rPh sb="4" eb="6">
      <t>ゴマ</t>
    </rPh>
    <rPh sb="6" eb="7">
      <t>ア</t>
    </rPh>
    <phoneticPr fontId="1"/>
  </si>
  <si>
    <t>https://cookpad.com/recipe/670752</t>
  </si>
  <si>
    <t>(冷食)</t>
    <rPh sb="1" eb="3">
      <t>レイショク</t>
    </rPh>
    <phoneticPr fontId="1"/>
  </si>
  <si>
    <t>なすとピーマンの炒め物</t>
    <rPh sb="8" eb="9">
      <t>イタ</t>
    </rPh>
    <rPh sb="10" eb="11">
      <t>モノ</t>
    </rPh>
    <phoneticPr fontId="1"/>
  </si>
  <si>
    <t>アボカドサラダ</t>
    <phoneticPr fontId="1"/>
  </si>
  <si>
    <t>たまごサラダ</t>
  </si>
  <si>
    <t>たまごサラダ</t>
    <phoneticPr fontId="1"/>
  </si>
  <si>
    <t>https://www.kewpie.co.jp/recipes/recipe/QP10002847/</t>
  </si>
  <si>
    <t>たまごサラダ</t>
    <phoneticPr fontId="1"/>
  </si>
  <si>
    <t>https://oceans-nadia.com/user/24730/recipe/137117</t>
  </si>
  <si>
    <t>アスパラガスの挽き肉巻き</t>
  </si>
  <si>
    <t>https://erecipe.woman.excite.co.jp/detail/96da76dca730de98a0ed903fe8d67790.html</t>
  </si>
  <si>
    <t>パプリカの肉詰め</t>
    <rPh sb="5" eb="7">
      <t>ニクヅ</t>
    </rPh>
    <phoneticPr fontId="1"/>
  </si>
  <si>
    <t>https://oceans-nadia.com/user/25039/recipe/147170</t>
  </si>
  <si>
    <t>ひき肉のレンコンはさみ揚げ</t>
    <rPh sb="2" eb="3">
      <t>ニク</t>
    </rPh>
    <rPh sb="11" eb="12">
      <t>ア</t>
    </rPh>
    <phoneticPr fontId="1"/>
  </si>
  <si>
    <t>https://erecipe.woman.excite.co.jp/detail/0974049936e3fa642f460d77df4d90d0.html</t>
  </si>
  <si>
    <t>ピーマンの肉詰め</t>
    <rPh sb="5" eb="7">
      <t>ニクヅ</t>
    </rPh>
    <phoneticPr fontId="1"/>
  </si>
  <si>
    <t>シイタケの肉詰め</t>
    <rPh sb="5" eb="7">
      <t>ニクヅ</t>
    </rPh>
    <phoneticPr fontId="1"/>
  </si>
  <si>
    <t>https://erecipe.woman.excite.co.jp/detail/3f95830197eba9c862a58faddfb8872b.html</t>
  </si>
  <si>
    <t>https://oceans-nadia.com/user/34915/recipe/140829</t>
  </si>
  <si>
    <t>豚ひき肉とごぼうのつくね</t>
    <rPh sb="0" eb="1">
      <t>ブタ</t>
    </rPh>
    <rPh sb="3" eb="4">
      <t>ニク</t>
    </rPh>
    <phoneticPr fontId="1"/>
  </si>
  <si>
    <t>主菜</t>
    <rPh sb="0" eb="2">
      <t>シュサイ</t>
    </rPh>
    <phoneticPr fontId="1"/>
  </si>
  <si>
    <t>https://oceans-nadia.com/user/81580/recipe/247552</t>
  </si>
  <si>
    <t>だし巻き卵</t>
    <rPh sb="2" eb="3">
      <t>マ</t>
    </rPh>
    <rPh sb="4" eb="5">
      <t>タマゴ</t>
    </rPh>
    <phoneticPr fontId="1"/>
  </si>
  <si>
    <t>アスパラサラダ</t>
  </si>
  <si>
    <t>アスパラサラダ</t>
    <phoneticPr fontId="1"/>
  </si>
  <si>
    <t>(冷食)</t>
    <rPh sb="1" eb="3">
      <t>レイショク</t>
    </rPh>
    <phoneticPr fontId="1"/>
  </si>
  <si>
    <t>https://cookpad.com/recipe/468391</t>
    <phoneticPr fontId="1"/>
  </si>
  <si>
    <t>ほうれん草の胡麻和え</t>
    <rPh sb="4" eb="5">
      <t>ソウ</t>
    </rPh>
    <rPh sb="6" eb="8">
      <t>ゴマ</t>
    </rPh>
    <rPh sb="8" eb="9">
      <t>ア</t>
    </rPh>
    <phoneticPr fontId="1"/>
  </si>
  <si>
    <t>副菜</t>
    <rPh sb="0" eb="2">
      <t>フクサイ</t>
    </rPh>
    <phoneticPr fontId="1"/>
  </si>
  <si>
    <t>https://www.kurashiru.com/recipes/e3821720-526c-4ef8-acd4-2c0a8e512cd3</t>
  </si>
  <si>
    <t>主菜</t>
    <rPh sb="0" eb="2">
      <t>シュサイ</t>
    </rPh>
    <phoneticPr fontId="1"/>
  </si>
  <si>
    <t>ほうれん草のぐるぐる肉巻き</t>
    <rPh sb="4" eb="5">
      <t>ソウ</t>
    </rPh>
    <rPh sb="10" eb="12">
      <t>ニクマ</t>
    </rPh>
    <phoneticPr fontId="1"/>
  </si>
  <si>
    <t>ほうれん草お浸しの海苔巻き</t>
    <rPh sb="4" eb="5">
      <t>ソウ</t>
    </rPh>
    <rPh sb="6" eb="7">
      <t>ヒタ</t>
    </rPh>
    <rPh sb="9" eb="12">
      <t>ノリマ</t>
    </rPh>
    <phoneticPr fontId="1"/>
  </si>
  <si>
    <t>【3】</t>
    <phoneticPr fontId="1"/>
  </si>
  <si>
    <t>https://delishkitchen.tv/recipes/118810415944696132</t>
  </si>
  <si>
    <t>ごぼうとちくわの肉巻き</t>
    <rPh sb="8" eb="10">
      <t>ニクマ</t>
    </rPh>
    <phoneticPr fontId="1"/>
  </si>
  <si>
    <t>ごぼうとピーマンのきんぴら</t>
    <phoneticPr fontId="1"/>
  </si>
  <si>
    <t>https://erecipe.woman.excite.co.jp/detail/82e1febceee7eb162c6ffc1ab2218475.html</t>
  </si>
  <si>
    <t>ごぼうとベーコンの塩炒め</t>
    <rPh sb="9" eb="10">
      <t>シオ</t>
    </rPh>
    <rPh sb="10" eb="11">
      <t>イタ</t>
    </rPh>
    <phoneticPr fontId="1"/>
  </si>
  <si>
    <t>ごぼうとこんにゃくのきんぴら</t>
    <phoneticPr fontId="1"/>
  </si>
  <si>
    <t>https://www.kurashiru.com/recipes/9d2dd9c4-90aa-4c06-bf71-9938e07fdf19</t>
    <phoneticPr fontId="1"/>
  </si>
  <si>
    <t>https://www.kurashiru.com/recipes/f0c64aba-ea9a-4b5b-bc19-09e94c02df77</t>
    <phoneticPr fontId="1"/>
  </si>
  <si>
    <t>豚肉ときのこのピリ辛マヨ炒め</t>
    <phoneticPr fontId="1"/>
  </si>
  <si>
    <t>長ねぎときのこのマヨポン炒め</t>
    <phoneticPr fontId="1"/>
  </si>
  <si>
    <t>豆苗しめじにんじんナムル</t>
    <phoneticPr fontId="1"/>
  </si>
  <si>
    <t>https://www.kurashiru.com/recipes/5161bc0b-40d0-492d-80fb-a43ce75af81f</t>
  </si>
  <si>
    <t>もやしとしめじのめんつゆ炒め</t>
    <phoneticPr fontId="1"/>
  </si>
  <si>
    <t>https://www.kurashiru.com/recipes/c41a1537-180d-425d-bd99-32845191d457</t>
    <phoneticPr fontId="1"/>
  </si>
  <si>
    <t>https://www.kurashiru.com/recipes/9875c43c-7e79-4600-8f54-f8fac14b4346</t>
    <phoneticPr fontId="1"/>
  </si>
  <si>
    <t>ナスとしめじのゆず胡椒炒め</t>
  </si>
  <si>
    <t>ナスとしめじのゆず胡椒炒め</t>
    <phoneticPr fontId="1"/>
  </si>
  <si>
    <t>タラの照り焼き</t>
    <rPh sb="3" eb="4">
      <t>テ</t>
    </rPh>
    <rPh sb="5" eb="6">
      <t>ヤ</t>
    </rPh>
    <phoneticPr fontId="1"/>
  </si>
  <si>
    <t>主菜</t>
    <rPh sb="0" eb="2">
      <t>シュサイ</t>
    </rPh>
    <phoneticPr fontId="1"/>
  </si>
  <si>
    <t>https://oceans-nadia.com/user/12091/recipe/145920</t>
  </si>
  <si>
    <t>タラのバター醤油ムニエル</t>
    <rPh sb="6" eb="8">
      <t>ショウユ</t>
    </rPh>
    <phoneticPr fontId="1"/>
  </si>
  <si>
    <t>https://www.kurashiru.com/recipes/22ff23cc-ae0e-47b8-b26e-ad185cf86fbf</t>
  </si>
  <si>
    <t>レタスサラダ</t>
    <phoneticPr fontId="1"/>
  </si>
  <si>
    <t>チキンサラダ</t>
    <phoneticPr fontId="1"/>
  </si>
  <si>
    <t>(冷食)</t>
    <rPh sb="1" eb="3">
      <t>レイショク</t>
    </rPh>
    <phoneticPr fontId="1"/>
  </si>
  <si>
    <t>https://erecipe.woman.excite.co.jp/detail/f5fe77d2b1c4f71fb50cdb30a5cc11f9.html</t>
    <phoneticPr fontId="1"/>
  </si>
  <si>
    <t>ごぼうとピーマンのきんぴら</t>
  </si>
  <si>
    <t>https://www.kurashiru.com/recipes/7f794fdc-7ffc-4bb9-a385-08c0c5a7caa7</t>
  </si>
  <si>
    <t>ごぼうと人参のサラダ</t>
    <rPh sb="4" eb="6">
      <t>ニンジン</t>
    </rPh>
    <phoneticPr fontId="1"/>
  </si>
  <si>
    <t>ゆで卵サラダ</t>
    <rPh sb="2" eb="3">
      <t>タマゴ</t>
    </rPh>
    <phoneticPr fontId="1"/>
  </si>
  <si>
    <t>シイタケのおかか和え</t>
    <rPh sb="8" eb="9">
      <t>ア</t>
    </rPh>
    <phoneticPr fontId="1"/>
  </si>
  <si>
    <t>副菜</t>
    <rPh sb="0" eb="2">
      <t>フクサイ</t>
    </rPh>
    <phoneticPr fontId="1"/>
  </si>
  <si>
    <t>https://oceans-nadia.com/user/153045/recipe/381234</t>
  </si>
  <si>
    <t>シイタケのマヨチーズ焼き</t>
    <rPh sb="10" eb="11">
      <t>ヤ</t>
    </rPh>
    <phoneticPr fontId="1"/>
  </si>
  <si>
    <t>https://recipe.rakuten.co.jp/recipe/1850007267/</t>
  </si>
  <si>
    <t>https://cookpad.com/recipe/4436811</t>
  </si>
  <si>
    <t>シイタケの甘辛</t>
    <rPh sb="5" eb="7">
      <t>アマカラ</t>
    </rPh>
    <phoneticPr fontId="1"/>
  </si>
  <si>
    <t>flg</t>
    <phoneticPr fontId="1"/>
  </si>
  <si>
    <t>flg</t>
    <phoneticPr fontId="1"/>
  </si>
  <si>
    <t>natsu</t>
    <phoneticPr fontId="1"/>
  </si>
  <si>
    <t>鶏もも肉のレンチン</t>
    <rPh sb="0" eb="4">
      <t>トリモモニク</t>
    </rPh>
    <phoneticPr fontId="1"/>
  </si>
  <si>
    <t>アスパラだし巻き卵</t>
    <rPh sb="6" eb="7">
      <t>マ</t>
    </rPh>
    <rPh sb="8" eb="9">
      <t>タマゴ</t>
    </rPh>
    <phoneticPr fontId="1"/>
  </si>
  <si>
    <t>野菜のジャーマンポテト</t>
    <rPh sb="0" eb="2">
      <t>ヤサイ</t>
    </rPh>
    <phoneticPr fontId="1"/>
  </si>
  <si>
    <t>キャベツサラダ</t>
    <phoneticPr fontId="1"/>
  </si>
  <si>
    <t>(冷食)</t>
    <rPh sb="1" eb="3">
      <t>レイショク</t>
    </rPh>
    <phoneticPr fontId="1"/>
  </si>
  <si>
    <t>ブロッコリーサラダ</t>
  </si>
  <si>
    <t>ブロッコリーサラダ</t>
    <phoneticPr fontId="1"/>
  </si>
  <si>
    <t>主菜</t>
    <rPh sb="0" eb="2">
      <t>シュサイ</t>
    </rPh>
    <phoneticPr fontId="1"/>
  </si>
  <si>
    <t>塩サバのパリパリ焼き</t>
    <rPh sb="0" eb="1">
      <t>シオ</t>
    </rPh>
    <rPh sb="8" eb="9">
      <t>ヤ</t>
    </rPh>
    <phoneticPr fontId="1"/>
  </si>
  <si>
    <t>https://cookpad.com/recipe/2060238</t>
    <phoneticPr fontId="1"/>
  </si>
  <si>
    <t>玉ねぎの卵炒め</t>
    <rPh sb="0" eb="1">
      <t>タマ</t>
    </rPh>
    <rPh sb="4" eb="5">
      <t>タマゴ</t>
    </rPh>
    <rPh sb="5" eb="6">
      <t>イタ</t>
    </rPh>
    <phoneticPr fontId="1"/>
  </si>
  <si>
    <t>https://erecipe.woman.excite.co.jp/detail/b15e2ed81203f18fb55f1e997e91d2a6.html</t>
    <phoneticPr fontId="1"/>
  </si>
  <si>
    <t>人参のきんぴら</t>
    <rPh sb="0" eb="2">
      <t>ニンジン</t>
    </rPh>
    <phoneticPr fontId="1"/>
  </si>
  <si>
    <t>レタスサラダ</t>
    <phoneticPr fontId="1"/>
  </si>
  <si>
    <t>豚肉生姜焼き</t>
    <rPh sb="0" eb="2">
      <t>ブタニク</t>
    </rPh>
    <rPh sb="2" eb="5">
      <t>ショウガヤ</t>
    </rPh>
    <phoneticPr fontId="1"/>
  </si>
  <si>
    <t>https://delishkitchen.tv/recipes/238652494291403049</t>
    <phoneticPr fontId="1"/>
  </si>
  <si>
    <t>青梗菜と卵のオイスターソース炒め</t>
    <rPh sb="0" eb="3">
      <t>チンゲンサイ</t>
    </rPh>
    <rPh sb="4" eb="5">
      <t>タマゴ</t>
    </rPh>
    <rPh sb="14" eb="15">
      <t>イタ</t>
    </rPh>
    <phoneticPr fontId="1"/>
  </si>
  <si>
    <t>https://www.lettuceclub.net/recipe/dish/24079/</t>
    <phoneticPr fontId="1"/>
  </si>
  <si>
    <t>ごぼうとこんにゃくのきんぴら</t>
  </si>
  <si>
    <t>アボカドサラダ</t>
    <phoneticPr fontId="1"/>
  </si>
  <si>
    <t>？？？</t>
    <phoneticPr fontId="1"/>
  </si>
  <si>
    <t>https://hugkum.sho.jp/60967</t>
    <phoneticPr fontId="1"/>
  </si>
  <si>
    <t>あ</t>
    <phoneticPr fontId="1"/>
  </si>
  <si>
    <t>https://oceans-nadia.com/user/22780/recipe/196090</t>
    <phoneticPr fontId="1"/>
  </si>
  <si>
    <t>豚ひき肉の卵炒め</t>
    <phoneticPr fontId="1"/>
  </si>
  <si>
    <t>鮭のごま甘酢照り焼き</t>
    <rPh sb="0" eb="1">
      <t>サケ</t>
    </rPh>
    <rPh sb="4" eb="6">
      <t>アマズ</t>
    </rPh>
    <rPh sb="6" eb="7">
      <t>テ</t>
    </rPh>
    <rPh sb="8" eb="9">
      <t>ヤ</t>
    </rPh>
    <phoneticPr fontId="1"/>
  </si>
  <si>
    <t>だし巻き卵</t>
    <rPh sb="2" eb="3">
      <t>マ</t>
    </rPh>
    <rPh sb="4" eb="5">
      <t>タマゴ</t>
    </rPh>
    <phoneticPr fontId="1"/>
  </si>
  <si>
    <t>(冷食)</t>
    <rPh sb="1" eb="3">
      <t>レイショク</t>
    </rPh>
    <phoneticPr fontId="1"/>
  </si>
  <si>
    <t>かぼちゃの鶏ひき肉煮</t>
    <rPh sb="5" eb="6">
      <t>トリ</t>
    </rPh>
    <rPh sb="8" eb="9">
      <t>ニク</t>
    </rPh>
    <rPh sb="9" eb="10">
      <t>ニ</t>
    </rPh>
    <phoneticPr fontId="1"/>
  </si>
  <si>
    <t>ベビーリーフサラダ</t>
  </si>
  <si>
    <t>ベビーリーフサラダ</t>
    <phoneticPr fontId="1"/>
  </si>
  <si>
    <t>無限キャベツ</t>
    <rPh sb="0" eb="2">
      <t>ムゲン</t>
    </rPh>
    <phoneticPr fontId="1"/>
  </si>
  <si>
    <t>マカロニサラダ</t>
  </si>
  <si>
    <t>タラのカレーピカタ</t>
  </si>
  <si>
    <t>タラのカレーピカタ</t>
    <phoneticPr fontId="1"/>
  </si>
  <si>
    <t>https://www.kurashiru.com/recipes/6579d70d-dcfb-4c89-a0bd-b82945008e56</t>
  </si>
  <si>
    <t>https://recipe.rakuten.co.jp/recipe/1290001623/</t>
    <phoneticPr fontId="1"/>
  </si>
  <si>
    <t>牛肉すき焼き風</t>
    <rPh sb="0" eb="2">
      <t>ギュウニク</t>
    </rPh>
    <rPh sb="4" eb="5">
      <t>ヤ</t>
    </rPh>
    <rPh sb="6" eb="7">
      <t>フウ</t>
    </rPh>
    <phoneticPr fontId="1"/>
  </si>
  <si>
    <t>ほうれん草卵焼き</t>
    <rPh sb="4" eb="5">
      <t>ソウ</t>
    </rPh>
    <rPh sb="5" eb="7">
      <t>タマゴヤ</t>
    </rPh>
    <phoneticPr fontId="1"/>
  </si>
  <si>
    <t>冷食</t>
    <rPh sb="0" eb="2">
      <t>レイショク</t>
    </rPh>
    <phoneticPr fontId="1"/>
  </si>
  <si>
    <t>レタスサラダ</t>
    <phoneticPr fontId="1"/>
  </si>
  <si>
    <t>牛肉と新玉ねぎのさっぱりごまポン炒め</t>
  </si>
  <si>
    <t>主菜</t>
    <rPh sb="0" eb="2">
      <t>シュサイ</t>
    </rPh>
    <phoneticPr fontId="1"/>
  </si>
  <si>
    <t>https://www.kurashiru.com/recipes/f1c3e657-9c6f-408d-adef-81ae24166936</t>
  </si>
  <si>
    <t>じゃこサラダ</t>
  </si>
  <si>
    <t>きゅうりとツナのサラダ</t>
  </si>
  <si>
    <t>記録をおさぼり</t>
    <rPh sb="0" eb="2">
      <t>キロク</t>
    </rPh>
    <phoneticPr fontId="1"/>
  </si>
  <si>
    <t>flg</t>
    <phoneticPr fontId="1"/>
  </si>
  <si>
    <t>夏希午後旧</t>
    <rPh sb="0" eb="2">
      <t>ナツキ</t>
    </rPh>
    <rPh sb="2" eb="4">
      <t>ゴゴ</t>
    </rPh>
    <rPh sb="4" eb="5">
      <t>キュウ</t>
    </rPh>
    <phoneticPr fontId="1"/>
  </si>
  <si>
    <t>flg</t>
    <phoneticPr fontId="1"/>
  </si>
  <si>
    <t>もやし粉チーズ炒め</t>
    <rPh sb="3" eb="4">
      <t>コナ</t>
    </rPh>
    <rPh sb="7" eb="8">
      <t>イタ</t>
    </rPh>
    <phoneticPr fontId="1"/>
  </si>
  <si>
    <t>https://kurashinista.jp/articles/detail/19179</t>
    <phoneticPr fontId="1"/>
  </si>
  <si>
    <t>豚肉もやしピーマン炒め</t>
    <rPh sb="9" eb="10">
      <t>イタ</t>
    </rPh>
    <phoneticPr fontId="1"/>
  </si>
  <si>
    <t>https://www.kurashiru.com/recipes/bc2eb3b0-b182-48fe-8eea-3b992d139e02</t>
    <phoneticPr fontId="1"/>
  </si>
  <si>
    <t>https://cookpad.com/recipe/2790276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</si>
</sst>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u/>
      <sz val="11"/>
      <color theme="10"/>
      <name val="ＭＳ ゴシック"/>
      <family val="2"/>
      <charset val="128"/>
    </font>
    <font>
      <b/>
      <sz val="11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3" fillId="2" borderId="1" xfId="0" applyFont="1" applyFill="1" applyBorder="1">
      <alignment vertical="center"/>
    </xf>
    <xf numFmtId="0" fontId="2" fillId="0" borderId="0" xfId="1">
      <alignment vertical="center"/>
    </xf>
    <xf numFmtId="0" fontId="0" fillId="0" borderId="0" xfId="0" applyBorder="1">
      <alignment vertical="center"/>
    </xf>
    <xf numFmtId="14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2" fillId="0" borderId="1" xfId="1" applyBorder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58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cookpad.com/recipe/1924454" TargetMode="External"/><Relationship Id="rId18" Type="http://schemas.openxmlformats.org/officeDocument/2006/relationships/hyperlink" Target="https://cookpad.com/recipe/3051913" TargetMode="External"/><Relationship Id="rId26" Type="http://schemas.openxmlformats.org/officeDocument/2006/relationships/hyperlink" Target="https://cookpad.com/recipe/2398093" TargetMode="External"/><Relationship Id="rId39" Type="http://schemas.openxmlformats.org/officeDocument/2006/relationships/hyperlink" Target="https://hugkum.sho.jp/61262" TargetMode="External"/><Relationship Id="rId21" Type="http://schemas.openxmlformats.org/officeDocument/2006/relationships/hyperlink" Target="https://daidokolog.pal-system.co.jp/recipe/318" TargetMode="External"/><Relationship Id="rId34" Type="http://schemas.openxmlformats.org/officeDocument/2006/relationships/hyperlink" Target="http://yuu-stylish-bar.blog.jp/archives/1073705429.html" TargetMode="External"/><Relationship Id="rId42" Type="http://schemas.openxmlformats.org/officeDocument/2006/relationships/hyperlink" Target="https://oceans-nadia.com/user/21965/recipe/191133" TargetMode="External"/><Relationship Id="rId47" Type="http://schemas.openxmlformats.org/officeDocument/2006/relationships/hyperlink" Target="https://cookpad.com/recipe/1605247" TargetMode="External"/><Relationship Id="rId50" Type="http://schemas.openxmlformats.org/officeDocument/2006/relationships/hyperlink" Target="https://daidokolog.pal-system.co.jp/recipe/3310" TargetMode="External"/><Relationship Id="rId55" Type="http://schemas.openxmlformats.org/officeDocument/2006/relationships/hyperlink" Target="https://cookpad.com/recipe/5716570" TargetMode="External"/><Relationship Id="rId63" Type="http://schemas.openxmlformats.org/officeDocument/2006/relationships/hyperlink" Target="https://oceans-nadia.com/user/24730/recipe/137117" TargetMode="External"/><Relationship Id="rId68" Type="http://schemas.openxmlformats.org/officeDocument/2006/relationships/hyperlink" Target="https://oceans-nadia.com/user/34915/recipe/140829" TargetMode="External"/><Relationship Id="rId76" Type="http://schemas.openxmlformats.org/officeDocument/2006/relationships/hyperlink" Target="https://cookpad.com/recipe/2060238" TargetMode="External"/><Relationship Id="rId84" Type="http://schemas.openxmlformats.org/officeDocument/2006/relationships/hyperlink" Target="https://cookpad.com/recipe/2790276" TargetMode="External"/><Relationship Id="rId7" Type="http://schemas.openxmlformats.org/officeDocument/2006/relationships/hyperlink" Target="https://delishkitchen.tv/recipes/136186547786482049" TargetMode="External"/><Relationship Id="rId71" Type="http://schemas.openxmlformats.org/officeDocument/2006/relationships/hyperlink" Target="https://www.kurashiru.com/recipes/9d2dd9c4-90aa-4c06-bf71-9938e07fdf19" TargetMode="External"/><Relationship Id="rId2" Type="http://schemas.openxmlformats.org/officeDocument/2006/relationships/hyperlink" Target="https://oceans-nadia.com/user/10816/recipe/147841" TargetMode="External"/><Relationship Id="rId16" Type="http://schemas.openxmlformats.org/officeDocument/2006/relationships/hyperlink" Target="https://cookpad.com/recipe/3755038" TargetMode="External"/><Relationship Id="rId29" Type="http://schemas.openxmlformats.org/officeDocument/2006/relationships/hyperlink" Target="https://recipe.shidax.co.jp/recipe/outline/241" TargetMode="External"/><Relationship Id="rId11" Type="http://schemas.openxmlformats.org/officeDocument/2006/relationships/hyperlink" Target="https://cookpad.com/recipe/1835031" TargetMode="External"/><Relationship Id="rId24" Type="http://schemas.openxmlformats.org/officeDocument/2006/relationships/hyperlink" Target="https://delishkitchen.tv/recipes/135175461851365761" TargetMode="External"/><Relationship Id="rId32" Type="http://schemas.openxmlformats.org/officeDocument/2006/relationships/hyperlink" Target="https://cookpad.com/recipe/614608" TargetMode="External"/><Relationship Id="rId37" Type="http://schemas.openxmlformats.org/officeDocument/2006/relationships/hyperlink" Target="https://oceans-nadia.com/user/14996/recipe/115977" TargetMode="External"/><Relationship Id="rId40" Type="http://schemas.openxmlformats.org/officeDocument/2006/relationships/hyperlink" Target="https://erecipe.woman.excite.co.jp/detail/31accf72b2a9321a816ed603e30e89c4.html" TargetMode="External"/><Relationship Id="rId45" Type="http://schemas.openxmlformats.org/officeDocument/2006/relationships/hyperlink" Target="https://cookpad.com/recipe/2962989" TargetMode="External"/><Relationship Id="rId53" Type="http://schemas.openxmlformats.org/officeDocument/2006/relationships/hyperlink" Target="https://www.kikkoman.co.jp/homecook/search/recipe/00006292/index.html" TargetMode="External"/><Relationship Id="rId58" Type="http://schemas.openxmlformats.org/officeDocument/2006/relationships/hyperlink" Target="https://www.kurashiru.com/recipes/6a9b09a5-4492-47d7-941d-00e5f91afb2a" TargetMode="External"/><Relationship Id="rId66" Type="http://schemas.openxmlformats.org/officeDocument/2006/relationships/hyperlink" Target="https://erecipe.woman.excite.co.jp/detail/0974049936e3fa642f460d77df4d90d0.html" TargetMode="External"/><Relationship Id="rId74" Type="http://schemas.openxmlformats.org/officeDocument/2006/relationships/hyperlink" Target="https://www.kurashiru.com/recipes/9875c43c-7e79-4600-8f54-f8fac14b4346" TargetMode="External"/><Relationship Id="rId79" Type="http://schemas.openxmlformats.org/officeDocument/2006/relationships/hyperlink" Target="https://www.lettuceclub.net/recipe/dish/24079/" TargetMode="External"/><Relationship Id="rId5" Type="http://schemas.openxmlformats.org/officeDocument/2006/relationships/hyperlink" Target="https://erecipe.woman.excite.co.jp/detail/fde8f563a0aef69c2a9ba45f208fb747.html" TargetMode="External"/><Relationship Id="rId61" Type="http://schemas.openxmlformats.org/officeDocument/2006/relationships/hyperlink" Target="https://recipe.rakuten.co.jp/recipe/1290001623/" TargetMode="External"/><Relationship Id="rId82" Type="http://schemas.openxmlformats.org/officeDocument/2006/relationships/hyperlink" Target="https://kurashinista.jp/articles/detail/19179" TargetMode="External"/><Relationship Id="rId19" Type="http://schemas.openxmlformats.org/officeDocument/2006/relationships/hyperlink" Target="https://www.kurashiru.com/recipes/65cc8e11-3eab-491f-8745-c89fe560c0b3" TargetMode="External"/><Relationship Id="rId4" Type="http://schemas.openxmlformats.org/officeDocument/2006/relationships/hyperlink" Target="https://www.kikkoman.co.jp/homecook/search/recipe/00003460/index.html" TargetMode="External"/><Relationship Id="rId9" Type="http://schemas.openxmlformats.org/officeDocument/2006/relationships/hyperlink" Target="https://oceans-nadia.com/user/196104/recipe/376279" TargetMode="External"/><Relationship Id="rId14" Type="http://schemas.openxmlformats.org/officeDocument/2006/relationships/hyperlink" Target="https://www.kurashiru.com/recipes/ded0d347-2d6e-4304-b19c-8e26b195efc6" TargetMode="External"/><Relationship Id="rId22" Type="http://schemas.openxmlformats.org/officeDocument/2006/relationships/hyperlink" Target="https://erecipe.woman.excite.co.jp/detail/085b34985b5996cae86a5845741cb9ad.html" TargetMode="External"/><Relationship Id="rId27" Type="http://schemas.openxmlformats.org/officeDocument/2006/relationships/hyperlink" Target="https://cookpad.com/recipe/2986341" TargetMode="External"/><Relationship Id="rId30" Type="http://schemas.openxmlformats.org/officeDocument/2006/relationships/hyperlink" Target="https://recipe.rakuten.co.jp/recipe/1850008421/?l-id=recipe_list_detail_recipe" TargetMode="External"/><Relationship Id="rId35" Type="http://schemas.openxmlformats.org/officeDocument/2006/relationships/hyperlink" Target="https://recipe.rakuten.co.jp/recipe/1070031681/" TargetMode="External"/><Relationship Id="rId43" Type="http://schemas.openxmlformats.org/officeDocument/2006/relationships/hyperlink" Target="https://cookpad.com/recipe/1191363" TargetMode="External"/><Relationship Id="rId48" Type="http://schemas.openxmlformats.org/officeDocument/2006/relationships/hyperlink" Target="https://oceans-nadia.com/user/22084/recipe/146462" TargetMode="External"/><Relationship Id="rId56" Type="http://schemas.openxmlformats.org/officeDocument/2006/relationships/hyperlink" Target="https://oceans-nadia.com/user/140559/recipe/342607" TargetMode="External"/><Relationship Id="rId64" Type="http://schemas.openxmlformats.org/officeDocument/2006/relationships/hyperlink" Target="https://erecipe.woman.excite.co.jp/detail/96da76dca730de98a0ed903fe8d67790.html" TargetMode="External"/><Relationship Id="rId69" Type="http://schemas.openxmlformats.org/officeDocument/2006/relationships/hyperlink" Target="https://oceans-nadia.com/user/81580/recipe/247552" TargetMode="External"/><Relationship Id="rId77" Type="http://schemas.openxmlformats.org/officeDocument/2006/relationships/hyperlink" Target="https://erecipe.woman.excite.co.jp/detail/b15e2ed81203f18fb55f1e997e91d2a6.html" TargetMode="External"/><Relationship Id="rId8" Type="http://schemas.openxmlformats.org/officeDocument/2006/relationships/hyperlink" Target="https://www.kewpie.co.jp/recipes/basicsalad/salad02/" TargetMode="External"/><Relationship Id="rId51" Type="http://schemas.openxmlformats.org/officeDocument/2006/relationships/hyperlink" Target="https://twitter.com/igarashi_yukari/status/1256147863194578945" TargetMode="External"/><Relationship Id="rId72" Type="http://schemas.openxmlformats.org/officeDocument/2006/relationships/hyperlink" Target="https://www.kurashiru.com/recipes/f0c64aba-ea9a-4b5b-bc19-09e94c02df77" TargetMode="External"/><Relationship Id="rId80" Type="http://schemas.openxmlformats.org/officeDocument/2006/relationships/hyperlink" Target="https://hugkum.sho.jp/60967" TargetMode="External"/><Relationship Id="rId85" Type="http://schemas.openxmlformats.org/officeDocument/2006/relationships/printerSettings" Target="../printerSettings/printerSettings2.bin"/><Relationship Id="rId3" Type="http://schemas.openxmlformats.org/officeDocument/2006/relationships/hyperlink" Target="https://cookpad.com/recipe/1035743" TargetMode="External"/><Relationship Id="rId12" Type="http://schemas.openxmlformats.org/officeDocument/2006/relationships/hyperlink" Target="https://cookpad.com/recipe/3742383" TargetMode="External"/><Relationship Id="rId17" Type="http://schemas.openxmlformats.org/officeDocument/2006/relationships/hyperlink" Target="https://www.sirogohan.com/recipe/gomaaeingen/" TargetMode="External"/><Relationship Id="rId25" Type="http://schemas.openxmlformats.org/officeDocument/2006/relationships/hyperlink" Target="https://recipe.rakuten.co.jp/recipe/1370011990/" TargetMode="External"/><Relationship Id="rId33" Type="http://schemas.openxmlformats.org/officeDocument/2006/relationships/hyperlink" Target="https://cookpad.com/recipe/1828106" TargetMode="External"/><Relationship Id="rId38" Type="http://schemas.openxmlformats.org/officeDocument/2006/relationships/hyperlink" Target="https://hugkum.sho.jp/61262" TargetMode="External"/><Relationship Id="rId46" Type="http://schemas.openxmlformats.org/officeDocument/2006/relationships/hyperlink" Target="https://www.sirogohan.com/recipe/ohitasi/" TargetMode="External"/><Relationship Id="rId59" Type="http://schemas.openxmlformats.org/officeDocument/2006/relationships/hyperlink" Target="https://www.kurashiru.com/recipes/492e9129-8a3d-4c98-ad2b-067b7962ccf0" TargetMode="External"/><Relationship Id="rId67" Type="http://schemas.openxmlformats.org/officeDocument/2006/relationships/hyperlink" Target="https://erecipe.woman.excite.co.jp/detail/3f95830197eba9c862a58faddfb8872b.html" TargetMode="External"/><Relationship Id="rId20" Type="http://schemas.openxmlformats.org/officeDocument/2006/relationships/hyperlink" Target="https://delishkitchen.tv/recipes/138644772133798387" TargetMode="External"/><Relationship Id="rId41" Type="http://schemas.openxmlformats.org/officeDocument/2006/relationships/hyperlink" Target="https://oceans-nadia.com/user/22780/recipe/244747" TargetMode="External"/><Relationship Id="rId54" Type="http://schemas.openxmlformats.org/officeDocument/2006/relationships/hyperlink" Target="https://delishkitchen.tv/recipes/209641815668687270" TargetMode="External"/><Relationship Id="rId62" Type="http://schemas.openxmlformats.org/officeDocument/2006/relationships/hyperlink" Target="https://www.kewpie.co.jp/recipes/recipe/QP10002847/" TargetMode="External"/><Relationship Id="rId70" Type="http://schemas.openxmlformats.org/officeDocument/2006/relationships/hyperlink" Target="https://cookpad.com/recipe/468391" TargetMode="External"/><Relationship Id="rId75" Type="http://schemas.openxmlformats.org/officeDocument/2006/relationships/hyperlink" Target="https://erecipe.woman.excite.co.jp/detail/f5fe77d2b1c4f71fb50cdb30a5cc11f9.html" TargetMode="External"/><Relationship Id="rId83" Type="http://schemas.openxmlformats.org/officeDocument/2006/relationships/hyperlink" Target="https://www.kurashiru.com/recipes/bc2eb3b0-b182-48fe-8eea-3b992d139e02" TargetMode="External"/><Relationship Id="rId1" Type="http://schemas.openxmlformats.org/officeDocument/2006/relationships/hyperlink" Target="https://recipe.rakuten.co.jp/recipe/1350003354/" TargetMode="External"/><Relationship Id="rId6" Type="http://schemas.openxmlformats.org/officeDocument/2006/relationships/hyperlink" Target="https://www.lettuceclub.net/recipe/dish/21817/" TargetMode="External"/><Relationship Id="rId15" Type="http://schemas.openxmlformats.org/officeDocument/2006/relationships/hyperlink" Target="https://www.kurashiru.com/recipes/8151aa7f-173a-418a-9287-efb1ab15442c" TargetMode="External"/><Relationship Id="rId23" Type="http://schemas.openxmlformats.org/officeDocument/2006/relationships/hyperlink" Target="https://recipe.rakuten.co.jp/recipe/1170005693/" TargetMode="External"/><Relationship Id="rId28" Type="http://schemas.openxmlformats.org/officeDocument/2006/relationships/hyperlink" Target="https://recipe.rakuten.co.jp/recipe/1340001099/" TargetMode="External"/><Relationship Id="rId36" Type="http://schemas.openxmlformats.org/officeDocument/2006/relationships/hyperlink" Target="http://www.lettuceclub.net/recipe/dish/19268/" TargetMode="External"/><Relationship Id="rId49" Type="http://schemas.openxmlformats.org/officeDocument/2006/relationships/hyperlink" Target="https://cookpad.com/recipe/389864" TargetMode="External"/><Relationship Id="rId57" Type="http://schemas.openxmlformats.org/officeDocument/2006/relationships/hyperlink" Target="https://www.kurashiru.com/recipes/b0785e60-929a-465a-a63e-e52797c0cf59" TargetMode="External"/><Relationship Id="rId10" Type="http://schemas.openxmlformats.org/officeDocument/2006/relationships/hyperlink" Target="https://recipe.shidax.co.jp/recipe/detail/112" TargetMode="External"/><Relationship Id="rId31" Type="http://schemas.openxmlformats.org/officeDocument/2006/relationships/hyperlink" Target="https://oceans-nadia.com/user/22780/recipe/375032" TargetMode="External"/><Relationship Id="rId44" Type="http://schemas.openxmlformats.org/officeDocument/2006/relationships/hyperlink" Target="https://delishkitchen.tv/recipes/146145683223609818" TargetMode="External"/><Relationship Id="rId52" Type="http://schemas.openxmlformats.org/officeDocument/2006/relationships/hyperlink" Target="https://cookpad.com/recipe/4711892" TargetMode="External"/><Relationship Id="rId60" Type="http://schemas.openxmlformats.org/officeDocument/2006/relationships/hyperlink" Target="https://cookpad.com/recipe/670752" TargetMode="External"/><Relationship Id="rId65" Type="http://schemas.openxmlformats.org/officeDocument/2006/relationships/hyperlink" Target="https://oceans-nadia.com/user/25039/recipe/147170" TargetMode="External"/><Relationship Id="rId73" Type="http://schemas.openxmlformats.org/officeDocument/2006/relationships/hyperlink" Target="https://www.kurashiru.com/recipes/c41a1537-180d-425d-bd99-32845191d457" TargetMode="External"/><Relationship Id="rId78" Type="http://schemas.openxmlformats.org/officeDocument/2006/relationships/hyperlink" Target="https://delishkitchen.tv/recipes/238652494291403049" TargetMode="External"/><Relationship Id="rId81" Type="http://schemas.openxmlformats.org/officeDocument/2006/relationships/hyperlink" Target="https://oceans-nadia.com/user/22780/recipe/196090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matome.naver.jp/odai/213618536671303710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81"/>
  <sheetViews>
    <sheetView workbookViewId="0">
      <pane xSplit="3" ySplit="2" topLeftCell="D102" activePane="bottomRight" state="frozen"/>
      <selection pane="topRight" activeCell="D1" sqref="D1"/>
      <selection pane="bottomLeft" activeCell="A3" sqref="A3"/>
      <selection pane="bottomRight" activeCell="N118" sqref="N118"/>
    </sheetView>
  </sheetViews>
  <sheetFormatPr defaultRowHeight="13.5" x14ac:dyDescent="0.15"/>
  <cols>
    <col min="1" max="1" width="11.625" bestFit="1" customWidth="1"/>
    <col min="2" max="2" width="7.25" customWidth="1"/>
    <col min="3" max="3" width="4" customWidth="1"/>
    <col min="4" max="7" width="19.125" customWidth="1"/>
    <col min="8" max="8" width="13.375" customWidth="1"/>
    <col min="9" max="9" width="32.125" customWidth="1"/>
    <col min="10" max="10" width="3.5" customWidth="1"/>
    <col min="11" max="14" width="11.875" customWidth="1"/>
  </cols>
  <sheetData>
    <row r="1" spans="1:14" x14ac:dyDescent="0.15">
      <c r="A1" t="s">
        <v>0</v>
      </c>
      <c r="K1" t="s">
        <v>86</v>
      </c>
      <c r="L1" s="1" t="e">
        <f>VLOOKUP(E1,データ!$B:$C,2,FALSE)</f>
        <v>#N/A</v>
      </c>
    </row>
    <row r="2" spans="1:14" x14ac:dyDescent="0.15">
      <c r="A2" s="1"/>
      <c r="B2" s="3" t="s">
        <v>5</v>
      </c>
      <c r="C2" s="3" t="s">
        <v>31</v>
      </c>
      <c r="D2" s="3" t="s">
        <v>1</v>
      </c>
      <c r="E2" s="3" t="s">
        <v>2</v>
      </c>
      <c r="F2" s="3" t="s">
        <v>3</v>
      </c>
      <c r="G2" s="3" t="s">
        <v>141</v>
      </c>
      <c r="H2" s="3" t="s">
        <v>10</v>
      </c>
      <c r="I2" s="3" t="s">
        <v>7</v>
      </c>
      <c r="J2" s="3"/>
      <c r="K2" s="3" t="s">
        <v>1</v>
      </c>
      <c r="L2" s="3" t="s">
        <v>2</v>
      </c>
      <c r="M2" s="3" t="s">
        <v>3</v>
      </c>
      <c r="N2" s="3" t="s">
        <v>4</v>
      </c>
    </row>
    <row r="3" spans="1:14" x14ac:dyDescent="0.15">
      <c r="A3" s="2">
        <v>44018</v>
      </c>
      <c r="B3" s="2" t="str">
        <f>TEXT(A3,"aaa")</f>
        <v>月</v>
      </c>
      <c r="C3" s="2"/>
      <c r="D3" s="1"/>
      <c r="E3" s="1"/>
      <c r="F3" s="1"/>
      <c r="G3" s="1"/>
      <c r="H3" s="1"/>
      <c r="I3" s="1"/>
      <c r="J3" s="1"/>
      <c r="K3" s="8" t="str">
        <f>IFERROR(HYPERLINK(VLOOKUP(D3,データ!$B:$C,2,FALSE),D3),"※no-data")</f>
        <v>※no-data</v>
      </c>
      <c r="L3" s="8" t="str">
        <f>IFERROR(HYPERLINK(VLOOKUP(E3,データ!$B:$C,2,FALSE),E3),"※no-data")</f>
        <v>※no-data</v>
      </c>
      <c r="M3" s="8" t="str">
        <f>IFERROR(HYPERLINK(VLOOKUP(F3,データ!$B:$C,2,FALSE),F3),"※no-data")</f>
        <v>※no-data</v>
      </c>
      <c r="N3" s="8" t="str">
        <f>IFERROR(HYPERLINK(VLOOKUP(G3,データ!$B:$C,2,FALSE),G3),"※no-data")</f>
        <v>※no-data</v>
      </c>
    </row>
    <row r="4" spans="1:14" x14ac:dyDescent="0.15">
      <c r="A4" s="2">
        <v>44019</v>
      </c>
      <c r="B4" s="2" t="str">
        <f t="shared" ref="B4:B27" si="0">TEXT(A4,"aaa")</f>
        <v>火</v>
      </c>
      <c r="C4" s="2"/>
      <c r="D4" s="1" t="s">
        <v>22</v>
      </c>
      <c r="E4" s="1" t="s">
        <v>12</v>
      </c>
      <c r="F4" s="1" t="s">
        <v>14</v>
      </c>
      <c r="G4" s="1" t="s">
        <v>9</v>
      </c>
      <c r="H4" s="1" t="s">
        <v>11</v>
      </c>
      <c r="I4" s="1"/>
      <c r="J4" s="1"/>
      <c r="K4" s="8" t="str">
        <f>IFERROR(HYPERLINK(VLOOKUP(D4,データ!$B:$C,2,FALSE),D4),"※no-data")</f>
        <v>※no-data</v>
      </c>
      <c r="L4" s="8" t="str">
        <f>IFERROR(HYPERLINK(VLOOKUP(E4,データ!$B:$C,2,FALSE),E4),"※no-data")</f>
        <v>いんげん胡麻和え</v>
      </c>
      <c r="M4" s="8" t="str">
        <f>IFERROR(HYPERLINK(VLOOKUP(F4,データ!$B:$C,2,FALSE),F4),"※no-data")</f>
        <v>※no-data</v>
      </c>
      <c r="N4" s="8" t="str">
        <f>IFERROR(HYPERLINK(VLOOKUP(G4,データ!$B:$C,2,FALSE),G4),"※no-data")</f>
        <v>※no-data</v>
      </c>
    </row>
    <row r="5" spans="1:14" x14ac:dyDescent="0.15">
      <c r="A5" s="2">
        <v>44020</v>
      </c>
      <c r="B5" s="2" t="str">
        <f t="shared" si="0"/>
        <v>水</v>
      </c>
      <c r="C5" s="2"/>
      <c r="D5" s="1" t="s">
        <v>22</v>
      </c>
      <c r="E5" s="1" t="s">
        <v>12</v>
      </c>
      <c r="F5" s="1" t="s">
        <v>15</v>
      </c>
      <c r="G5" s="1" t="s">
        <v>9</v>
      </c>
      <c r="H5" s="1" t="s">
        <v>11</v>
      </c>
      <c r="I5" s="1"/>
      <c r="J5" s="1"/>
      <c r="K5" s="8" t="str">
        <f>IFERROR(HYPERLINK(VLOOKUP(D5,データ!$B:$C,2,FALSE),D5),"※no-data")</f>
        <v>※no-data</v>
      </c>
      <c r="L5" s="8" t="str">
        <f>IFERROR(HYPERLINK(VLOOKUP(E5,データ!$B:$C,2,FALSE),E5),"※no-data")</f>
        <v>いんげん胡麻和え</v>
      </c>
      <c r="M5" s="8" t="str">
        <f>IFERROR(HYPERLINK(VLOOKUP(F5,データ!$B:$C,2,FALSE),F5),"※no-data")</f>
        <v>ジャガイモグラタン</v>
      </c>
      <c r="N5" s="8" t="str">
        <f>IFERROR(HYPERLINK(VLOOKUP(G5,データ!$B:$C,2,FALSE),G5),"※no-data")</f>
        <v>※no-data</v>
      </c>
    </row>
    <row r="6" spans="1:14" x14ac:dyDescent="0.15">
      <c r="A6" s="2">
        <v>44021</v>
      </c>
      <c r="B6" s="2" t="str">
        <f t="shared" si="0"/>
        <v>木</v>
      </c>
      <c r="C6" s="2"/>
      <c r="D6" s="1" t="s">
        <v>44</v>
      </c>
      <c r="E6" s="1" t="s">
        <v>6</v>
      </c>
      <c r="F6" s="1" t="s">
        <v>14</v>
      </c>
      <c r="G6" s="1" t="s">
        <v>13</v>
      </c>
      <c r="H6" s="1" t="s">
        <v>27</v>
      </c>
      <c r="I6" s="1"/>
      <c r="J6" s="1"/>
      <c r="K6" s="8" t="str">
        <f>IFERROR(HYPERLINK(VLOOKUP(D6,データ!$B:$C,2,FALSE),D6),"※no-data")</f>
        <v>ささみ照り焼き</v>
      </c>
      <c r="L6" s="8" t="str">
        <f>IFERROR(HYPERLINK(VLOOKUP(E6,データ!$B:$C,2,FALSE),E6),"※no-data")</f>
        <v>無限キャベツ</v>
      </c>
      <c r="M6" s="8" t="str">
        <f>IFERROR(HYPERLINK(VLOOKUP(F6,データ!$B:$C,2,FALSE),F6),"※no-data")</f>
        <v>※no-data</v>
      </c>
      <c r="N6" s="8" t="str">
        <f>IFERROR(HYPERLINK(VLOOKUP(G6,データ!$B:$C,2,FALSE),G6),"※no-data")</f>
        <v>※no-data</v>
      </c>
    </row>
    <row r="7" spans="1:14" x14ac:dyDescent="0.15">
      <c r="A7" s="2">
        <v>44022</v>
      </c>
      <c r="B7" s="2" t="str">
        <f t="shared" si="0"/>
        <v>金</v>
      </c>
      <c r="C7" s="2"/>
      <c r="D7" s="1" t="s">
        <v>44</v>
      </c>
      <c r="E7" s="1" t="s">
        <v>6</v>
      </c>
      <c r="F7" s="1" t="s">
        <v>15</v>
      </c>
      <c r="G7" s="1" t="s">
        <v>37</v>
      </c>
      <c r="H7" s="1" t="s">
        <v>28</v>
      </c>
      <c r="I7" s="1"/>
      <c r="J7" s="1"/>
      <c r="K7" s="8" t="str">
        <f>IFERROR(HYPERLINK(VLOOKUP(D7,データ!$B:$C,2,FALSE),D7),"※no-data")</f>
        <v>ささみ照り焼き</v>
      </c>
      <c r="L7" s="8" t="str">
        <f>IFERROR(HYPERLINK(VLOOKUP(E7,データ!$B:$C,2,FALSE),E7),"※no-data")</f>
        <v>無限キャベツ</v>
      </c>
      <c r="M7" s="8" t="str">
        <f>IFERROR(HYPERLINK(VLOOKUP(F7,データ!$B:$C,2,FALSE),F7),"※no-data")</f>
        <v>ジャガイモグラタン</v>
      </c>
      <c r="N7" s="8" t="str">
        <f>IFERROR(HYPERLINK(VLOOKUP(G7,データ!$B:$C,2,FALSE),G7),"※no-data")</f>
        <v>※no-data</v>
      </c>
    </row>
    <row r="8" spans="1:14" x14ac:dyDescent="0.15">
      <c r="A8" s="2">
        <v>44023</v>
      </c>
      <c r="B8" s="2" t="str">
        <f t="shared" si="0"/>
        <v>土</v>
      </c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15">
      <c r="A9" s="2">
        <v>44024</v>
      </c>
      <c r="B9" s="2" t="str">
        <f t="shared" si="0"/>
        <v>日</v>
      </c>
      <c r="C9" s="2" t="s">
        <v>31</v>
      </c>
      <c r="D9" s="1" t="s">
        <v>43</v>
      </c>
      <c r="E9" s="1" t="s">
        <v>6</v>
      </c>
      <c r="F9" s="1" t="s">
        <v>43</v>
      </c>
      <c r="G9" s="1" t="s">
        <v>52</v>
      </c>
      <c r="H9" s="1" t="s">
        <v>36</v>
      </c>
      <c r="I9" s="1"/>
      <c r="J9" s="1"/>
      <c r="K9" s="8" t="str">
        <f>IFERROR(HYPERLINK(VLOOKUP(D9,データ!$B:$C,2,FALSE),D9),"※no-data")</f>
        <v>※no-data</v>
      </c>
      <c r="L9" s="8" t="str">
        <f>IFERROR(HYPERLINK(VLOOKUP(E9,データ!$B:$C,2,FALSE),E9),"※no-data")</f>
        <v>無限キャベツ</v>
      </c>
      <c r="M9" s="8" t="str">
        <f>IFERROR(HYPERLINK(VLOOKUP(F9,データ!$B:$C,2,FALSE),F9),"※no-data")</f>
        <v>※no-data</v>
      </c>
      <c r="N9" s="8" t="str">
        <f>IFERROR(HYPERLINK(VLOOKUP(G9,データ!$B:$C,2,FALSE),G9),"※no-data")</f>
        <v>ウィンナーサラダ</v>
      </c>
    </row>
    <row r="10" spans="1:14" x14ac:dyDescent="0.15">
      <c r="A10" s="2">
        <v>44025</v>
      </c>
      <c r="B10" s="2" t="str">
        <f t="shared" si="0"/>
        <v>月</v>
      </c>
      <c r="C10" s="2"/>
      <c r="D10" s="1" t="s">
        <v>53</v>
      </c>
      <c r="E10" s="1" t="s">
        <v>55</v>
      </c>
      <c r="F10" s="1" t="s">
        <v>58</v>
      </c>
      <c r="G10" s="1" t="s">
        <v>35</v>
      </c>
      <c r="H10" s="1" t="s">
        <v>56</v>
      </c>
      <c r="I10" s="1" t="s">
        <v>16</v>
      </c>
      <c r="J10" s="1"/>
      <c r="K10" s="8" t="str">
        <f>IFERROR(HYPERLINK(VLOOKUP(D10,データ!$B:$C,2,FALSE),D10),"※no-data")</f>
        <v>豚ニラもやし</v>
      </c>
      <c r="L10" s="8" t="str">
        <f>IFERROR(HYPERLINK(VLOOKUP(E10,データ!$B:$C,2,FALSE),E10),"※no-data")</f>
        <v>※no-data</v>
      </c>
      <c r="M10" s="8" t="str">
        <f>IFERROR(HYPERLINK(VLOOKUP(F10,データ!$B:$C,2,FALSE),F10),"※no-data")</f>
        <v>※no-data</v>
      </c>
      <c r="N10" s="8" t="str">
        <f>IFERROR(HYPERLINK(VLOOKUP(G10,データ!$B:$C,2,FALSE),G10),"※no-data")</f>
        <v>クルトンサラダ</v>
      </c>
    </row>
    <row r="11" spans="1:14" x14ac:dyDescent="0.15">
      <c r="A11" s="2">
        <v>44026</v>
      </c>
      <c r="B11" s="2" t="str">
        <f t="shared" si="0"/>
        <v>火</v>
      </c>
      <c r="C11" s="2"/>
      <c r="D11" s="1" t="s">
        <v>53</v>
      </c>
      <c r="E11" s="1" t="s">
        <v>58</v>
      </c>
      <c r="F11" s="1" t="s">
        <v>33</v>
      </c>
      <c r="G11" s="1" t="s">
        <v>8</v>
      </c>
      <c r="H11" s="1" t="s">
        <v>56</v>
      </c>
      <c r="I11" s="1" t="s">
        <v>29</v>
      </c>
      <c r="J11" s="1"/>
      <c r="K11" s="8" t="str">
        <f>IFERROR(HYPERLINK(VLOOKUP(D11,データ!$B:$C,2,FALSE),D11),"※no-data")</f>
        <v>豚ニラもやし</v>
      </c>
      <c r="L11" s="8" t="str">
        <f>IFERROR(HYPERLINK(VLOOKUP(E11,データ!$B:$C,2,FALSE),E11),"※no-data")</f>
        <v>※no-data</v>
      </c>
      <c r="M11" s="8" t="str">
        <f>IFERROR(HYPERLINK(VLOOKUP(F11,データ!$B:$C,2,FALSE),F11),"※no-data")</f>
        <v>インゲンチーズ巻き</v>
      </c>
      <c r="N11" s="8" t="str">
        <f>IFERROR(HYPERLINK(VLOOKUP(G11,データ!$B:$C,2,FALSE),G11),"※no-data")</f>
        <v>ポテトサラダ</v>
      </c>
    </row>
    <row r="12" spans="1:14" x14ac:dyDescent="0.15">
      <c r="A12" s="2">
        <v>44027</v>
      </c>
      <c r="B12" s="2" t="str">
        <f t="shared" si="0"/>
        <v>水</v>
      </c>
      <c r="C12" s="2"/>
      <c r="D12" s="1" t="s">
        <v>32</v>
      </c>
      <c r="E12" s="1" t="s">
        <v>39</v>
      </c>
      <c r="F12" s="1" t="s">
        <v>27</v>
      </c>
      <c r="G12" s="1" t="s">
        <v>8</v>
      </c>
      <c r="H12" s="1" t="s">
        <v>61</v>
      </c>
      <c r="I12" s="1"/>
      <c r="J12" s="1"/>
      <c r="K12" s="8" t="str">
        <f>IFERROR(HYPERLINK(VLOOKUP(D12,データ!$B:$C,2,FALSE),D12),"※no-data")</f>
        <v>※no-data</v>
      </c>
      <c r="L12" s="8" t="str">
        <f>IFERROR(HYPERLINK(VLOOKUP(E12,データ!$B:$C,2,FALSE),E12),"※no-data")</f>
        <v>※no-data</v>
      </c>
      <c r="M12" s="8" t="str">
        <f>IFERROR(HYPERLINK(VLOOKUP(F12,データ!$B:$C,2,FALSE),F12),"※no-data")</f>
        <v>※no-data</v>
      </c>
      <c r="N12" s="8" t="str">
        <f>IFERROR(HYPERLINK(VLOOKUP(G12,データ!$B:$C,2,FALSE),G12),"※no-data")</f>
        <v>ポテトサラダ</v>
      </c>
    </row>
    <row r="13" spans="1:14" x14ac:dyDescent="0.15">
      <c r="A13" s="2">
        <v>44028</v>
      </c>
      <c r="B13" s="2" t="str">
        <f t="shared" si="0"/>
        <v>木</v>
      </c>
      <c r="C13" s="2"/>
      <c r="D13" s="1" t="s">
        <v>32</v>
      </c>
      <c r="E13" s="1" t="s">
        <v>27</v>
      </c>
      <c r="F13" s="1" t="s">
        <v>54</v>
      </c>
      <c r="G13" s="1" t="s">
        <v>60</v>
      </c>
      <c r="H13" s="1" t="s">
        <v>56</v>
      </c>
      <c r="I13" s="1"/>
      <c r="J13" s="1"/>
      <c r="K13" s="8" t="str">
        <f>IFERROR(HYPERLINK(VLOOKUP(D13,データ!$B:$C,2,FALSE),D13),"※no-data")</f>
        <v>※no-data</v>
      </c>
      <c r="L13" s="8" t="str">
        <f>IFERROR(HYPERLINK(VLOOKUP(E13,データ!$B:$C,2,FALSE),E13),"※no-data")</f>
        <v>※no-data</v>
      </c>
      <c r="M13" s="8" t="str">
        <f>IFERROR(HYPERLINK(VLOOKUP(F13,データ!$B:$C,2,FALSE),F13),"※no-data")</f>
        <v>人参明太子</v>
      </c>
      <c r="N13" s="8" t="str">
        <f>IFERROR(HYPERLINK(VLOOKUP(G13,データ!$B:$C,2,FALSE),G13),"※no-data")</f>
        <v>※no-data</v>
      </c>
    </row>
    <row r="14" spans="1:14" x14ac:dyDescent="0.15">
      <c r="A14" s="2">
        <v>44029</v>
      </c>
      <c r="B14" s="2" t="str">
        <f t="shared" si="0"/>
        <v>金</v>
      </c>
      <c r="C14" s="2" t="s">
        <v>31</v>
      </c>
      <c r="D14" s="1"/>
      <c r="E14" s="1" t="s">
        <v>59</v>
      </c>
      <c r="F14" s="1" t="s">
        <v>54</v>
      </c>
      <c r="G14" s="1" t="s">
        <v>40</v>
      </c>
      <c r="H14" s="1" t="s">
        <v>56</v>
      </c>
      <c r="I14" s="1"/>
      <c r="J14" s="1"/>
      <c r="K14" s="1"/>
      <c r="L14" s="1"/>
      <c r="M14" s="1"/>
      <c r="N14" s="1"/>
    </row>
    <row r="15" spans="1:14" x14ac:dyDescent="0.15">
      <c r="A15" s="2">
        <v>44030</v>
      </c>
      <c r="B15" s="2" t="str">
        <f t="shared" si="0"/>
        <v>土</v>
      </c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15">
      <c r="A16" s="2">
        <v>44031</v>
      </c>
      <c r="B16" s="2" t="str">
        <f t="shared" si="0"/>
        <v>日</v>
      </c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15">
      <c r="A17" s="2">
        <v>44032</v>
      </c>
      <c r="B17" s="2" t="str">
        <f t="shared" si="0"/>
        <v>月</v>
      </c>
      <c r="C17" s="2"/>
      <c r="D17" s="1" t="s">
        <v>45</v>
      </c>
      <c r="E17" s="1" t="s">
        <v>54</v>
      </c>
      <c r="F17" s="1" t="s">
        <v>57</v>
      </c>
      <c r="G17" s="1" t="s">
        <v>40</v>
      </c>
      <c r="H17" s="1"/>
      <c r="I17" s="1"/>
      <c r="J17" s="1"/>
      <c r="K17" s="8" t="str">
        <f>IFERROR(HYPERLINK(VLOOKUP(D17,データ!$B:$C,2,FALSE),D17),"※no-data")</f>
        <v>※no-data</v>
      </c>
      <c r="L17" s="8" t="str">
        <f>IFERROR(HYPERLINK(VLOOKUP(E17,データ!$B:$C,2,FALSE),E17),"※no-data")</f>
        <v>人参明太子</v>
      </c>
      <c r="M17" s="8" t="str">
        <f>IFERROR(HYPERLINK(VLOOKUP(F17,データ!$B:$C,2,FALSE),F17),"※no-data")</f>
        <v>枝豆卵焼き</v>
      </c>
      <c r="N17" s="8" t="str">
        <f>IFERROR(HYPERLINK(VLOOKUP(G17,データ!$B:$C,2,FALSE),G17),"※no-data")</f>
        <v>マカロニサラダ</v>
      </c>
    </row>
    <row r="18" spans="1:14" x14ac:dyDescent="0.15">
      <c r="A18" s="2">
        <v>44033</v>
      </c>
      <c r="B18" s="2" t="str">
        <f t="shared" si="0"/>
        <v>火</v>
      </c>
      <c r="C18" s="2"/>
      <c r="D18" s="1" t="s">
        <v>45</v>
      </c>
      <c r="E18" s="1" t="s">
        <v>73</v>
      </c>
      <c r="F18" s="1" t="s">
        <v>57</v>
      </c>
      <c r="G18" s="1" t="s">
        <v>40</v>
      </c>
      <c r="H18" s="1"/>
      <c r="I18" s="1"/>
      <c r="J18" s="1"/>
      <c r="K18" s="8" t="str">
        <f>IFERROR(HYPERLINK(VLOOKUP(D18,データ!$B:$C,2,FALSE),D18),"※no-data")</f>
        <v>※no-data</v>
      </c>
      <c r="L18" s="8" t="str">
        <f>IFERROR(HYPERLINK(VLOOKUP(E18,データ!$B:$C,2,FALSE),E18),"※no-data")</f>
        <v>玉ねぎ味噌炒め</v>
      </c>
      <c r="M18" s="8" t="str">
        <f>IFERROR(HYPERLINK(VLOOKUP(F18,データ!$B:$C,2,FALSE),F18),"※no-data")</f>
        <v>枝豆卵焼き</v>
      </c>
      <c r="N18" s="8" t="str">
        <f>IFERROR(HYPERLINK(VLOOKUP(G18,データ!$B:$C,2,FALSE),G18),"※no-data")</f>
        <v>マカロニサラダ</v>
      </c>
    </row>
    <row r="19" spans="1:14" x14ac:dyDescent="0.15">
      <c r="A19" s="2">
        <v>44034</v>
      </c>
      <c r="B19" s="2" t="str">
        <f t="shared" si="0"/>
        <v>水</v>
      </c>
      <c r="C19" s="2"/>
      <c r="D19" s="1" t="s">
        <v>76</v>
      </c>
      <c r="E19" s="1" t="s">
        <v>73</v>
      </c>
      <c r="F19" s="1" t="s">
        <v>64</v>
      </c>
      <c r="G19" s="1" t="s">
        <v>75</v>
      </c>
      <c r="H19" s="1"/>
      <c r="I19" s="1"/>
      <c r="J19" s="1"/>
      <c r="K19" s="8" t="str">
        <f>IFERROR(HYPERLINK(VLOOKUP(D19,データ!$B:$C,2,FALSE),D19),"※no-data")</f>
        <v>豚肉照り焼き炒め</v>
      </c>
      <c r="L19" s="8" t="str">
        <f>IFERROR(HYPERLINK(VLOOKUP(E19,データ!$B:$C,2,FALSE),E19),"※no-data")</f>
        <v>玉ねぎ味噌炒め</v>
      </c>
      <c r="M19" s="8" t="str">
        <f>IFERROR(HYPERLINK(VLOOKUP(F19,データ!$B:$C,2,FALSE),F19),"※no-data")</f>
        <v>※no-data</v>
      </c>
      <c r="N19" s="8" t="str">
        <f>IFERROR(HYPERLINK(VLOOKUP(G19,データ!$B:$C,2,FALSE),G19),"※no-data")</f>
        <v>ゆで卵サラダ</v>
      </c>
    </row>
    <row r="20" spans="1:14" x14ac:dyDescent="0.15">
      <c r="A20" s="6">
        <v>44035</v>
      </c>
      <c r="B20" s="6" t="str">
        <f t="shared" si="0"/>
        <v>木</v>
      </c>
      <c r="C20" s="2" t="s">
        <v>31</v>
      </c>
      <c r="D20" s="7"/>
      <c r="E20" s="7"/>
      <c r="F20" s="7"/>
      <c r="G20" s="7"/>
      <c r="H20" s="7"/>
      <c r="I20" s="7" t="s">
        <v>17</v>
      </c>
      <c r="J20" s="7"/>
      <c r="K20" s="7"/>
      <c r="L20" s="7"/>
      <c r="M20" s="7"/>
      <c r="N20" s="7"/>
    </row>
    <row r="21" spans="1:14" x14ac:dyDescent="0.15">
      <c r="A21" s="6">
        <v>44036</v>
      </c>
      <c r="B21" s="6" t="str">
        <f t="shared" si="0"/>
        <v>金</v>
      </c>
      <c r="C21" s="2" t="s">
        <v>31</v>
      </c>
      <c r="D21" s="7"/>
      <c r="E21" s="7"/>
      <c r="F21" s="7"/>
      <c r="G21" s="7"/>
      <c r="H21" s="7"/>
      <c r="I21" s="7" t="s">
        <v>18</v>
      </c>
      <c r="J21" s="7"/>
      <c r="K21" s="7"/>
      <c r="L21" s="7"/>
      <c r="M21" s="7"/>
      <c r="N21" s="7"/>
    </row>
    <row r="22" spans="1:14" x14ac:dyDescent="0.15">
      <c r="A22" s="2">
        <v>44037</v>
      </c>
      <c r="B22" s="2" t="str">
        <f t="shared" si="0"/>
        <v>土</v>
      </c>
      <c r="C22" s="2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15">
      <c r="A23" s="2">
        <v>44038</v>
      </c>
      <c r="B23" s="2" t="str">
        <f t="shared" si="0"/>
        <v>日</v>
      </c>
      <c r="C23" s="2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15">
      <c r="A24" s="2">
        <v>44039</v>
      </c>
      <c r="B24" s="2" t="str">
        <f t="shared" si="0"/>
        <v>月</v>
      </c>
      <c r="C24" s="2"/>
      <c r="D24" s="1" t="s">
        <v>87</v>
      </c>
      <c r="E24" s="1" t="s">
        <v>87</v>
      </c>
      <c r="F24" s="1" t="s">
        <v>89</v>
      </c>
      <c r="G24" s="1" t="s">
        <v>88</v>
      </c>
      <c r="H24" s="1"/>
      <c r="I24" s="1"/>
      <c r="J24" s="1"/>
      <c r="K24" s="8" t="str">
        <f>IFERROR(HYPERLINK(VLOOKUP(D24,データ!$B:$C,2,FALSE),D24),"※no-data")</f>
        <v>※no-data</v>
      </c>
      <c r="L24" s="8" t="str">
        <f>IFERROR(HYPERLINK(VLOOKUP(E24,データ!$B:$C,2,FALSE),E24),"※no-data")</f>
        <v>※no-data</v>
      </c>
      <c r="M24" s="8" t="str">
        <f>IFERROR(HYPERLINK(VLOOKUP(F24,データ!$B:$C,2,FALSE),F24),"※no-data")</f>
        <v>チーズ卵焼き</v>
      </c>
      <c r="N24" s="8" t="str">
        <f>IFERROR(HYPERLINK(VLOOKUP(G24,データ!$B:$C,2,FALSE),G24),"※no-data")</f>
        <v>ハムサラダ</v>
      </c>
    </row>
    <row r="25" spans="1:14" x14ac:dyDescent="0.15">
      <c r="A25" s="2">
        <v>44040</v>
      </c>
      <c r="B25" s="2" t="str">
        <f t="shared" si="0"/>
        <v>火</v>
      </c>
      <c r="C25" s="2"/>
      <c r="D25" s="1" t="s">
        <v>98</v>
      </c>
      <c r="E25" s="1" t="s">
        <v>41</v>
      </c>
      <c r="F25" s="1" t="s">
        <v>89</v>
      </c>
      <c r="G25" s="1" t="s">
        <v>94</v>
      </c>
      <c r="H25" s="1"/>
      <c r="I25" s="1"/>
      <c r="J25" s="1"/>
      <c r="K25" s="8" t="str">
        <f>IFERROR(HYPERLINK(VLOOKUP(D25,データ!$B:$C,2,FALSE),D25),"※no-data")</f>
        <v>豚肉ピーマンオイスターソース</v>
      </c>
      <c r="L25" s="8" t="str">
        <f>IFERROR(HYPERLINK(VLOOKUP(E25,データ!$B:$C,2,FALSE),E25),"※no-data")</f>
        <v>玉ねぎ麺つゆ和え</v>
      </c>
      <c r="M25" s="8" t="str">
        <f>IFERROR(HYPERLINK(VLOOKUP(F25,データ!$B:$C,2,FALSE),F25),"※no-data")</f>
        <v>チーズ卵焼き</v>
      </c>
      <c r="N25" s="8" t="str">
        <f>IFERROR(HYPERLINK(VLOOKUP(G25,データ!$B:$C,2,FALSE),G25),"※no-data")</f>
        <v>きゅうりとツナのサラダ</v>
      </c>
    </row>
    <row r="26" spans="1:14" x14ac:dyDescent="0.15">
      <c r="A26" s="2">
        <v>44041</v>
      </c>
      <c r="B26" s="2" t="str">
        <f t="shared" si="0"/>
        <v>水</v>
      </c>
      <c r="C26" s="2"/>
      <c r="D26" s="1" t="s">
        <v>98</v>
      </c>
      <c r="E26" s="1" t="s">
        <v>41</v>
      </c>
      <c r="F26" s="1" t="s">
        <v>92</v>
      </c>
      <c r="G26" s="1" t="s">
        <v>93</v>
      </c>
      <c r="H26" s="1"/>
      <c r="I26" s="1"/>
      <c r="J26" s="1"/>
      <c r="K26" s="8" t="str">
        <f>IFERROR(HYPERLINK(VLOOKUP(D26,データ!$B:$C,2,FALSE),D26),"※no-data")</f>
        <v>豚肉ピーマンオイスターソース</v>
      </c>
      <c r="L26" s="8" t="str">
        <f>IFERROR(HYPERLINK(VLOOKUP(E26,データ!$B:$C,2,FALSE),E26),"※no-data")</f>
        <v>玉ねぎ麺つゆ和え</v>
      </c>
      <c r="M26" s="8" t="str">
        <f>IFERROR(HYPERLINK(VLOOKUP(F26,データ!$B:$C,2,FALSE),F26),"※no-data")</f>
        <v>ジャガイモベーコン巻き</v>
      </c>
      <c r="N26" s="8" t="str">
        <f>IFERROR(HYPERLINK(VLOOKUP(G26,データ!$B:$C,2,FALSE),G26),"※no-data")</f>
        <v>ブロッコリーサラダ</v>
      </c>
    </row>
    <row r="27" spans="1:14" x14ac:dyDescent="0.15">
      <c r="A27" s="2">
        <v>44042</v>
      </c>
      <c r="B27" s="2" t="str">
        <f t="shared" si="0"/>
        <v>木</v>
      </c>
      <c r="C27" s="2"/>
      <c r="D27" s="1" t="s">
        <v>99</v>
      </c>
      <c r="E27" s="1" t="s">
        <v>102</v>
      </c>
      <c r="F27" s="1" t="s">
        <v>92</v>
      </c>
      <c r="G27" s="1" t="s">
        <v>93</v>
      </c>
      <c r="H27" s="1"/>
      <c r="I27" s="1"/>
      <c r="J27" s="1"/>
      <c r="K27" s="8" t="str">
        <f>IFERROR(HYPERLINK(VLOOKUP(D27,データ!$B:$C,2,FALSE),D27),"※no-data")</f>
        <v>※no-data</v>
      </c>
      <c r="L27" s="8" t="str">
        <f>IFERROR(HYPERLINK(VLOOKUP(E27,データ!$B:$C,2,FALSE),E27),"※no-data")</f>
        <v>鶏むね肉サッパリ煮</v>
      </c>
      <c r="M27" s="8" t="str">
        <f>IFERROR(HYPERLINK(VLOOKUP(F27,データ!$B:$C,2,FALSE),F27),"※no-data")</f>
        <v>ジャガイモベーコン巻き</v>
      </c>
      <c r="N27" s="8" t="str">
        <f>IFERROR(HYPERLINK(VLOOKUP(G27,データ!$B:$C,2,FALSE),G27),"※no-data")</f>
        <v>ブロッコリーサラダ</v>
      </c>
    </row>
    <row r="28" spans="1:14" x14ac:dyDescent="0.15">
      <c r="A28" s="2">
        <v>44043</v>
      </c>
      <c r="B28" s="2" t="str">
        <f t="shared" ref="B28:B32" si="1">TEXT(A28,"aaa")</f>
        <v>金</v>
      </c>
      <c r="C28" s="2"/>
      <c r="D28" s="1" t="s">
        <v>102</v>
      </c>
      <c r="E28" s="1" t="s">
        <v>103</v>
      </c>
      <c r="F28" s="1" t="s">
        <v>87</v>
      </c>
      <c r="G28" s="1" t="s">
        <v>100</v>
      </c>
      <c r="H28" s="1"/>
      <c r="I28" s="1"/>
      <c r="J28" s="1"/>
      <c r="K28" s="8" t="str">
        <f>IFERROR(HYPERLINK(VLOOKUP(D28,データ!$B:$C,2,FALSE),D28),"※no-data")</f>
        <v>鶏むね肉サッパリ煮</v>
      </c>
      <c r="L28" s="8" t="str">
        <f>IFERROR(HYPERLINK(VLOOKUP(E28,データ!$B:$C,2,FALSE),E28),"※no-data")</f>
        <v>ジャガイモグラタン</v>
      </c>
      <c r="M28" s="8" t="str">
        <f>IFERROR(HYPERLINK(VLOOKUP(F28,データ!$B:$C,2,FALSE),F28),"※no-data")</f>
        <v>※no-data</v>
      </c>
      <c r="N28" s="8" t="str">
        <f>IFERROR(HYPERLINK(VLOOKUP(G28,データ!$B:$C,2,FALSE),G28),"※no-data")</f>
        <v>クルトンサラダ</v>
      </c>
    </row>
    <row r="29" spans="1:14" x14ac:dyDescent="0.15">
      <c r="A29" s="2">
        <v>44044</v>
      </c>
      <c r="B29" s="2" t="str">
        <f t="shared" si="1"/>
        <v>土</v>
      </c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15">
      <c r="A30" s="2">
        <v>44045</v>
      </c>
      <c r="B30" s="2" t="str">
        <f t="shared" si="1"/>
        <v>日</v>
      </c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15">
      <c r="A31" s="2">
        <v>44046</v>
      </c>
      <c r="B31" s="2" t="str">
        <f t="shared" si="1"/>
        <v>月</v>
      </c>
      <c r="C31" s="2"/>
      <c r="D31" s="1" t="s">
        <v>136</v>
      </c>
      <c r="E31" s="1" t="s">
        <v>129</v>
      </c>
      <c r="F31" s="1" t="s">
        <v>137</v>
      </c>
      <c r="G31" s="1" t="s">
        <v>138</v>
      </c>
      <c r="H31" s="1"/>
      <c r="I31" s="1" t="s">
        <v>104</v>
      </c>
      <c r="J31" s="1"/>
      <c r="K31" s="8" t="str">
        <f>IFERROR(HYPERLINK(VLOOKUP(D31,データ!$B:$C,2,FALSE),D31),"※no-data")</f>
        <v>※no-data</v>
      </c>
      <c r="L31" s="8" t="str">
        <f>IFERROR(HYPERLINK(VLOOKUP(E31,データ!$B:$C,2,FALSE),E31),"※no-data")</f>
        <v>しめじバターポン酢</v>
      </c>
      <c r="M31" s="8" t="str">
        <f>IFERROR(HYPERLINK(VLOOKUP(F31,データ!$B:$C,2,FALSE),F31),"※no-data")</f>
        <v>ベーコン卵焼き</v>
      </c>
      <c r="N31" s="8" t="str">
        <f>IFERROR(HYPERLINK(VLOOKUP(G31,データ!$B:$C,2,FALSE),G31),"※no-data")</f>
        <v>ピーマンおかか和え</v>
      </c>
    </row>
    <row r="32" spans="1:14" x14ac:dyDescent="0.15">
      <c r="A32" s="2">
        <v>44047</v>
      </c>
      <c r="B32" s="2" t="str">
        <f t="shared" si="1"/>
        <v>火</v>
      </c>
      <c r="C32" s="2"/>
      <c r="D32" s="1" t="s">
        <v>149</v>
      </c>
      <c r="E32" s="1" t="s">
        <v>129</v>
      </c>
      <c r="F32" s="1" t="s">
        <v>137</v>
      </c>
      <c r="G32" s="1" t="s">
        <v>142</v>
      </c>
      <c r="H32" s="1"/>
      <c r="I32" s="1"/>
      <c r="J32" s="1"/>
      <c r="K32" s="8" t="str">
        <f>IFERROR(HYPERLINK(VLOOKUP(D32,データ!$B:$C,2,FALSE),D32),"※no-data")</f>
        <v>豚ひき肉ネギ味噌つくね</v>
      </c>
      <c r="L32" s="8" t="str">
        <f>IFERROR(HYPERLINK(VLOOKUP(E32,データ!$B:$C,2,FALSE),E32),"※no-data")</f>
        <v>しめじバターポン酢</v>
      </c>
      <c r="M32" s="8" t="str">
        <f>IFERROR(HYPERLINK(VLOOKUP(F32,データ!$B:$C,2,FALSE),F32),"※no-data")</f>
        <v>ベーコン卵焼き</v>
      </c>
      <c r="N32" s="8" t="str">
        <f>IFERROR(HYPERLINK(VLOOKUP(G32,データ!$B:$C,2,FALSE),G32),"※no-data")</f>
        <v>じゃこサラダ</v>
      </c>
    </row>
    <row r="33" spans="1:14" x14ac:dyDescent="0.15">
      <c r="A33" s="2">
        <v>44048</v>
      </c>
      <c r="B33" s="2" t="str">
        <f t="shared" ref="B33:B60" si="2">TEXT(A33,"aaa")</f>
        <v>水</v>
      </c>
      <c r="C33" s="2" t="s">
        <v>169</v>
      </c>
      <c r="D33" s="1"/>
      <c r="E33" s="1"/>
      <c r="F33" s="1"/>
      <c r="G33" s="1"/>
      <c r="H33" s="1"/>
      <c r="I33" s="1"/>
      <c r="J33" s="1"/>
      <c r="K33" s="8" t="str">
        <f>IFERROR(HYPERLINK(VLOOKUP(D33,データ!$B:$C,2,FALSE),D33),"※no-data")</f>
        <v>※no-data</v>
      </c>
      <c r="L33" s="8" t="str">
        <f>IFERROR(HYPERLINK(VLOOKUP(E33,データ!$B:$C,2,FALSE),E33),"※no-data")</f>
        <v>※no-data</v>
      </c>
      <c r="M33" s="8" t="str">
        <f>IFERROR(HYPERLINK(VLOOKUP(F33,データ!$B:$C,2,FALSE),F33),"※no-data")</f>
        <v>※no-data</v>
      </c>
      <c r="N33" s="8" t="str">
        <f>IFERROR(HYPERLINK(VLOOKUP(G33,データ!$B:$C,2,FALSE),G33),"※no-data")</f>
        <v>※no-data</v>
      </c>
    </row>
    <row r="34" spans="1:14" x14ac:dyDescent="0.15">
      <c r="A34" s="2">
        <v>44049</v>
      </c>
      <c r="B34" s="2" t="str">
        <f t="shared" si="2"/>
        <v>木</v>
      </c>
      <c r="C34" s="2"/>
      <c r="D34" s="1" t="s">
        <v>149</v>
      </c>
      <c r="E34" s="1" t="s">
        <v>154</v>
      </c>
      <c r="F34" s="1" t="s">
        <v>164</v>
      </c>
      <c r="G34" s="1" t="s">
        <v>161</v>
      </c>
      <c r="H34" s="1" t="s">
        <v>138</v>
      </c>
      <c r="I34" s="1"/>
      <c r="J34" s="1"/>
      <c r="K34" s="8" t="str">
        <f>IFERROR(HYPERLINK(VLOOKUP(D34,データ!$B:$C,2,FALSE),D34),"※no-data")</f>
        <v>豚ひき肉ネギ味噌つくね</v>
      </c>
      <c r="L34" s="8" t="str">
        <f>IFERROR(HYPERLINK(VLOOKUP(E34,データ!$B:$C,2,FALSE),E34),"※no-data")</f>
        <v>ジャガイモマッシュポテト</v>
      </c>
      <c r="M34" s="8" t="str">
        <f>IFERROR(HYPERLINK(VLOOKUP(F34,データ!$B:$C,2,FALSE),F34),"※no-data")</f>
        <v>人参コーンコンソメ炒め</v>
      </c>
      <c r="N34" s="8" t="str">
        <f>IFERROR(HYPERLINK(VLOOKUP(G34,データ!$B:$C,2,FALSE),G34),"※no-data")</f>
        <v>コーンサラダ</v>
      </c>
    </row>
    <row r="35" spans="1:14" x14ac:dyDescent="0.15">
      <c r="A35" s="6">
        <v>44050</v>
      </c>
      <c r="B35" s="6" t="str">
        <f t="shared" si="2"/>
        <v>金</v>
      </c>
      <c r="C35" s="6" t="s">
        <v>170</v>
      </c>
      <c r="D35" s="7" t="s">
        <v>143</v>
      </c>
      <c r="E35" s="7" t="s">
        <v>154</v>
      </c>
      <c r="F35" s="7" t="s">
        <v>164</v>
      </c>
      <c r="G35" s="7" t="s">
        <v>161</v>
      </c>
      <c r="H35" s="7"/>
      <c r="I35" s="7"/>
      <c r="J35" s="7"/>
      <c r="K35" s="8" t="str">
        <f>IFERROR(HYPERLINK(VLOOKUP(D35,データ!$B:$C,2,FALSE),D35),"※no-data")</f>
        <v>鶏むねケチャップ炒め</v>
      </c>
      <c r="L35" s="8" t="str">
        <f>IFERROR(HYPERLINK(VLOOKUP(E35,データ!$B:$C,2,FALSE),E35),"※no-data")</f>
        <v>ジャガイモマッシュポテト</v>
      </c>
      <c r="M35" s="8" t="str">
        <f>IFERROR(HYPERLINK(VLOOKUP(F35,データ!$B:$C,2,FALSE),F35),"※no-data")</f>
        <v>人参コーンコンソメ炒め</v>
      </c>
      <c r="N35" s="8" t="str">
        <f>IFERROR(HYPERLINK(VLOOKUP(G35,データ!$B:$C,2,FALSE),G35),"※no-data")</f>
        <v>コーンサラダ</v>
      </c>
    </row>
    <row r="36" spans="1:14" x14ac:dyDescent="0.15">
      <c r="A36" s="2">
        <v>44051</v>
      </c>
      <c r="B36" s="2" t="str">
        <f t="shared" si="2"/>
        <v>土</v>
      </c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15">
      <c r="A37" s="2">
        <v>44052</v>
      </c>
      <c r="B37" s="2" t="str">
        <f t="shared" si="2"/>
        <v>日</v>
      </c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15">
      <c r="A38" s="2">
        <v>44053</v>
      </c>
      <c r="B38" s="2" t="str">
        <f t="shared" si="2"/>
        <v>月</v>
      </c>
      <c r="C38" s="2" t="s">
        <v>105</v>
      </c>
      <c r="D38" s="1"/>
      <c r="E38" s="1"/>
      <c r="F38" s="1"/>
      <c r="G38" s="1"/>
      <c r="H38" s="1"/>
      <c r="I38" s="1" t="s">
        <v>135</v>
      </c>
      <c r="J38" s="1"/>
      <c r="K38" s="1"/>
      <c r="L38" s="1"/>
      <c r="M38" s="1"/>
      <c r="N38" s="1"/>
    </row>
    <row r="39" spans="1:14" x14ac:dyDescent="0.15">
      <c r="A39" s="2">
        <v>44054</v>
      </c>
      <c r="B39" s="2" t="str">
        <f t="shared" si="2"/>
        <v>火</v>
      </c>
      <c r="C39" s="2" t="s">
        <v>105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15">
      <c r="A40" s="2">
        <v>44055</v>
      </c>
      <c r="B40" s="2" t="str">
        <f t="shared" si="2"/>
        <v>水</v>
      </c>
      <c r="C40" s="2" t="s">
        <v>134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15">
      <c r="A41" s="2">
        <v>44056</v>
      </c>
      <c r="B41" s="2" t="str">
        <f t="shared" si="2"/>
        <v>木</v>
      </c>
      <c r="C41" s="2"/>
      <c r="D41" s="1" t="s">
        <v>172</v>
      </c>
      <c r="E41" s="1" t="s">
        <v>179</v>
      </c>
      <c r="F41" s="1" t="s">
        <v>180</v>
      </c>
      <c r="G41" s="1" t="s">
        <v>176</v>
      </c>
      <c r="H41" s="1"/>
      <c r="I41" s="1" t="s">
        <v>177</v>
      </c>
      <c r="J41" s="1"/>
      <c r="K41" s="8" t="str">
        <f>IFERROR(HYPERLINK(VLOOKUP(D41,データ!$B:$C,2,FALSE),D41),"※no-data")</f>
        <v>豆苗と豚バラのうま味炒め</v>
      </c>
      <c r="L41" s="8" t="str">
        <f>IFERROR(HYPERLINK(VLOOKUP(E41,データ!$B:$C,2,FALSE),E41),"※no-data")</f>
        <v>ほうれん草コーンバター炒め</v>
      </c>
      <c r="M41" s="8" t="str">
        <f>IFERROR(HYPERLINK(VLOOKUP(F41,データ!$B:$C,2,FALSE),F41),"※no-data")</f>
        <v>※no-data</v>
      </c>
      <c r="N41" s="8" t="str">
        <f>IFERROR(HYPERLINK(VLOOKUP(G41,データ!$B:$C,2,FALSE),G41),"※no-data")</f>
        <v>ゆで卵サラダ</v>
      </c>
    </row>
    <row r="42" spans="1:14" x14ac:dyDescent="0.15">
      <c r="A42" s="2">
        <v>44057</v>
      </c>
      <c r="B42" s="2" t="str">
        <f t="shared" si="2"/>
        <v>金</v>
      </c>
      <c r="C42" s="2" t="s">
        <v>170</v>
      </c>
      <c r="D42" s="1" t="s">
        <v>172</v>
      </c>
      <c r="E42" s="1" t="s">
        <v>179</v>
      </c>
      <c r="F42" s="1" t="s">
        <v>180</v>
      </c>
      <c r="G42" s="1"/>
      <c r="H42" s="1"/>
      <c r="I42" s="1"/>
      <c r="J42" s="1"/>
      <c r="K42" s="8" t="str">
        <f>IFERROR(HYPERLINK(VLOOKUP(D42,データ!$B:$C,2,FALSE),D42),"※no-data")</f>
        <v>豆苗と豚バラのうま味炒め</v>
      </c>
      <c r="L42" s="8" t="str">
        <f>IFERROR(HYPERLINK(VLOOKUP(E42,データ!$B:$C,2,FALSE),E42),"※no-data")</f>
        <v>ほうれん草コーンバター炒め</v>
      </c>
      <c r="M42" s="8" t="str">
        <f>IFERROR(HYPERLINK(VLOOKUP(F42,データ!$B:$C,2,FALSE),F42),"※no-data")</f>
        <v>※no-data</v>
      </c>
      <c r="N42" s="8" t="str">
        <f>IFERROR(HYPERLINK(VLOOKUP(G42,データ!$B:$C,2,FALSE),G42),"※no-data")</f>
        <v>※no-data</v>
      </c>
    </row>
    <row r="43" spans="1:14" x14ac:dyDescent="0.15">
      <c r="A43" s="2">
        <v>44058</v>
      </c>
      <c r="B43" s="2" t="str">
        <f t="shared" si="2"/>
        <v>土</v>
      </c>
      <c r="C43" s="2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x14ac:dyDescent="0.15">
      <c r="A44" s="2">
        <v>44059</v>
      </c>
      <c r="B44" s="2" t="str">
        <f t="shared" si="2"/>
        <v>日</v>
      </c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x14ac:dyDescent="0.15">
      <c r="A45" s="2">
        <v>44060</v>
      </c>
      <c r="B45" s="2" t="str">
        <f t="shared" si="2"/>
        <v>月</v>
      </c>
      <c r="C45" s="2" t="s">
        <v>173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x14ac:dyDescent="0.15">
      <c r="A46" s="2">
        <v>44061</v>
      </c>
      <c r="B46" s="2" t="str">
        <f t="shared" si="2"/>
        <v>火</v>
      </c>
      <c r="C46" s="2"/>
      <c r="D46" s="1" t="s">
        <v>143</v>
      </c>
      <c r="E46" s="1" t="s">
        <v>181</v>
      </c>
      <c r="F46" s="1" t="s">
        <v>182</v>
      </c>
      <c r="G46" s="1" t="s">
        <v>184</v>
      </c>
      <c r="H46" s="1"/>
      <c r="I46" s="1"/>
      <c r="J46" s="1"/>
      <c r="K46" s="8" t="str">
        <f>IFERROR(HYPERLINK(VLOOKUP(D46,データ!$B:$C,2,FALSE),D46),"※no-data")</f>
        <v>鶏むねケチャップ炒め</v>
      </c>
      <c r="L46" s="8" t="str">
        <f>IFERROR(HYPERLINK(VLOOKUP(E46,データ!$B:$C,2,FALSE),E46),"※no-data")</f>
        <v>だし巻き卵</v>
      </c>
      <c r="M46" s="8" t="str">
        <f>IFERROR(HYPERLINK(VLOOKUP(F46,データ!$B:$C,2,FALSE),F46),"※no-data")</f>
        <v>※no-data</v>
      </c>
      <c r="N46" s="8" t="str">
        <f>IFERROR(HYPERLINK(VLOOKUP(G46,データ!$B:$C,2,FALSE),G46),"※no-data")</f>
        <v>豆苗サラダ</v>
      </c>
    </row>
    <row r="47" spans="1:14" x14ac:dyDescent="0.15">
      <c r="A47" s="2">
        <v>44062</v>
      </c>
      <c r="B47" s="2" t="str">
        <f t="shared" si="2"/>
        <v>水</v>
      </c>
      <c r="C47" s="2"/>
      <c r="D47" s="1" t="s">
        <v>143</v>
      </c>
      <c r="E47" s="1" t="s">
        <v>188</v>
      </c>
      <c r="F47" s="1" t="s">
        <v>182</v>
      </c>
      <c r="G47" s="1" t="s">
        <v>184</v>
      </c>
      <c r="H47" s="1"/>
      <c r="I47" s="1"/>
      <c r="J47" s="1"/>
      <c r="K47" s="8" t="str">
        <f>IFERROR(HYPERLINK(VLOOKUP(D47,データ!$B:$C,2,FALSE),D47),"※no-data")</f>
        <v>鶏むねケチャップ炒め</v>
      </c>
      <c r="L47" s="8" t="str">
        <f>IFERROR(HYPERLINK(VLOOKUP(E47,データ!$B:$C,2,FALSE),E47),"※no-data")</f>
        <v>人参しりしり</v>
      </c>
      <c r="M47" s="8" t="str">
        <f>IFERROR(HYPERLINK(VLOOKUP(F47,データ!$B:$C,2,FALSE),F47),"※no-data")</f>
        <v>※no-data</v>
      </c>
      <c r="N47" s="8" t="str">
        <f>IFERROR(HYPERLINK(VLOOKUP(G47,データ!$B:$C,2,FALSE),G47),"※no-data")</f>
        <v>豆苗サラダ</v>
      </c>
    </row>
    <row r="48" spans="1:14" x14ac:dyDescent="0.15">
      <c r="A48" s="2">
        <v>44063</v>
      </c>
      <c r="B48" s="2" t="str">
        <f t="shared" si="2"/>
        <v>木</v>
      </c>
      <c r="C48" s="2"/>
      <c r="D48" s="1" t="s">
        <v>183</v>
      </c>
      <c r="E48" s="1" t="s">
        <v>181</v>
      </c>
      <c r="F48" s="1" t="s">
        <v>64</v>
      </c>
      <c r="G48" s="1" t="s">
        <v>113</v>
      </c>
      <c r="H48" s="1"/>
      <c r="I48" s="1"/>
      <c r="J48" s="1"/>
      <c r="K48" s="8" t="str">
        <f>IFERROR(HYPERLINK(VLOOKUP(D48,データ!$B:$C,2,FALSE),D48),"※no-data")</f>
        <v>※no-data</v>
      </c>
      <c r="L48" s="8" t="str">
        <f>IFERROR(HYPERLINK(VLOOKUP(E48,データ!$B:$C,2,FALSE),E48),"※no-data")</f>
        <v>だし巻き卵</v>
      </c>
      <c r="M48" s="8" t="str">
        <f>IFERROR(HYPERLINK(VLOOKUP(F48,データ!$B:$C,2,FALSE),F48),"※no-data")</f>
        <v>※no-data</v>
      </c>
      <c r="N48" s="8" t="str">
        <f>IFERROR(HYPERLINK(VLOOKUP(G48,データ!$B:$C,2,FALSE),G48),"※no-data")</f>
        <v>ポテトサラダ</v>
      </c>
    </row>
    <row r="49" spans="1:14" x14ac:dyDescent="0.15">
      <c r="A49" s="2">
        <v>44064</v>
      </c>
      <c r="B49" s="2" t="str">
        <f t="shared" si="2"/>
        <v>金</v>
      </c>
      <c r="C49" s="2" t="s">
        <v>189</v>
      </c>
      <c r="D49" s="1" t="s">
        <v>183</v>
      </c>
      <c r="E49" s="1" t="s">
        <v>188</v>
      </c>
      <c r="F49" s="1" t="s">
        <v>190</v>
      </c>
      <c r="G49" s="1" t="s">
        <v>113</v>
      </c>
      <c r="H49" s="1"/>
      <c r="I49" s="1"/>
      <c r="J49" s="1"/>
      <c r="K49" s="8" t="str">
        <f>IFERROR(HYPERLINK(VLOOKUP(D49,データ!$B:$C,2,FALSE),D49),"※no-data")</f>
        <v>※no-data</v>
      </c>
      <c r="L49" s="8" t="str">
        <f>IFERROR(HYPERLINK(VLOOKUP(E49,データ!$B:$C,2,FALSE),E49),"※no-data")</f>
        <v>人参しりしり</v>
      </c>
      <c r="M49" s="8" t="str">
        <f>IFERROR(HYPERLINK(VLOOKUP(F49,データ!$B:$C,2,FALSE),F49),"※no-data")</f>
        <v>※no-data</v>
      </c>
      <c r="N49" s="8" t="str">
        <f>IFERROR(HYPERLINK(VLOOKUP(G49,データ!$B:$C,2,FALSE),G49),"※no-data")</f>
        <v>ポテトサラダ</v>
      </c>
    </row>
    <row r="50" spans="1:14" x14ac:dyDescent="0.15">
      <c r="A50" s="2">
        <v>44065</v>
      </c>
      <c r="B50" s="2" t="str">
        <f t="shared" si="2"/>
        <v>土</v>
      </c>
      <c r="C50" s="2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x14ac:dyDescent="0.15">
      <c r="A51" s="2">
        <v>44066</v>
      </c>
      <c r="B51" s="2" t="str">
        <f t="shared" si="2"/>
        <v>日</v>
      </c>
      <c r="C51" s="2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x14ac:dyDescent="0.15">
      <c r="A52" s="2">
        <v>44067</v>
      </c>
      <c r="B52" s="2" t="str">
        <f t="shared" si="2"/>
        <v>月</v>
      </c>
      <c r="C52" s="2"/>
      <c r="D52" s="1" t="s">
        <v>145</v>
      </c>
      <c r="E52" s="1" t="s">
        <v>158</v>
      </c>
      <c r="F52" s="1" t="s">
        <v>204</v>
      </c>
      <c r="G52" s="1" t="s">
        <v>216</v>
      </c>
      <c r="H52" s="1"/>
      <c r="I52" s="1"/>
      <c r="J52" s="1"/>
      <c r="K52" s="8" t="str">
        <f>IFERROR(HYPERLINK(VLOOKUP(D52,データ!$B:$C,2,FALSE),D52),"※no-data")</f>
        <v>鶏むねうま塩チキン</v>
      </c>
      <c r="L52" s="8" t="str">
        <f>IFERROR(HYPERLINK(VLOOKUP(E52,データ!$B:$C,2,FALSE),E52),"※no-data")</f>
        <v>ジャガイモカレー炒め</v>
      </c>
      <c r="M52" s="8" t="str">
        <f>IFERROR(HYPERLINK(VLOOKUP(F52,データ!$B:$C,2,FALSE),F52),"※no-data")</f>
        <v>※no-data</v>
      </c>
      <c r="N52" s="8" t="str">
        <f>IFERROR(HYPERLINK(VLOOKUP(G52,データ!$B:$C,2,FALSE),G52),"※no-data")</f>
        <v>ゆで卵サラダ</v>
      </c>
    </row>
    <row r="53" spans="1:14" x14ac:dyDescent="0.15">
      <c r="A53" s="2">
        <v>44068</v>
      </c>
      <c r="B53" s="2" t="str">
        <f t="shared" si="2"/>
        <v>火</v>
      </c>
      <c r="C53" s="2"/>
      <c r="D53" s="1" t="s">
        <v>145</v>
      </c>
      <c r="E53" s="1" t="s">
        <v>158</v>
      </c>
      <c r="F53" s="1" t="s">
        <v>205</v>
      </c>
      <c r="G53" s="1" t="s">
        <v>207</v>
      </c>
      <c r="H53" s="1"/>
      <c r="I53" s="1"/>
      <c r="J53" s="1"/>
      <c r="K53" s="8" t="str">
        <f>IFERROR(HYPERLINK(VLOOKUP(D53,データ!$B:$C,2,FALSE),D53),"※no-data")</f>
        <v>鶏むねうま塩チキン</v>
      </c>
      <c r="L53" s="8" t="str">
        <f>IFERROR(HYPERLINK(VLOOKUP(E53,データ!$B:$C,2,FALSE),E53),"※no-data")</f>
        <v>ジャガイモカレー炒め</v>
      </c>
      <c r="M53" s="8" t="str">
        <f>IFERROR(HYPERLINK(VLOOKUP(F53,データ!$B:$C,2,FALSE),F53),"※no-data")</f>
        <v>ほうれん草卵焼き</v>
      </c>
      <c r="N53" s="8" t="str">
        <f>IFERROR(HYPERLINK(VLOOKUP(G53,データ!$B:$C,2,FALSE),G53),"※no-data")</f>
        <v>レタスアボカドチョレギサラダ</v>
      </c>
    </row>
    <row r="54" spans="1:14" x14ac:dyDescent="0.15">
      <c r="A54" s="2">
        <v>44069</v>
      </c>
      <c r="B54" s="2" t="str">
        <f t="shared" si="2"/>
        <v>水</v>
      </c>
      <c r="C54" s="2"/>
      <c r="D54" s="1" t="s">
        <v>211</v>
      </c>
      <c r="E54" s="1" t="s">
        <v>159</v>
      </c>
      <c r="F54" s="1" t="s">
        <v>205</v>
      </c>
      <c r="G54" s="1" t="s">
        <v>207</v>
      </c>
      <c r="H54" s="1"/>
      <c r="I54" s="1"/>
      <c r="J54" s="1"/>
      <c r="K54" s="8" t="str">
        <f>IFERROR(HYPERLINK(VLOOKUP(D54,データ!$B:$C,2,FALSE),D54),"※no-data")</f>
        <v>鶏つくね団子</v>
      </c>
      <c r="L54" s="8" t="str">
        <f>IFERROR(HYPERLINK(VLOOKUP(E54,データ!$B:$C,2,FALSE),E54),"※no-data")</f>
        <v>ジャガイモ麺つゆバター煮</v>
      </c>
      <c r="M54" s="8" t="str">
        <f>IFERROR(HYPERLINK(VLOOKUP(F54,データ!$B:$C,2,FALSE),F54),"※no-data")</f>
        <v>ほうれん草卵焼き</v>
      </c>
      <c r="N54" s="8" t="str">
        <f>IFERROR(HYPERLINK(VLOOKUP(G54,データ!$B:$C,2,FALSE),G54),"※no-data")</f>
        <v>レタスアボカドチョレギサラダ</v>
      </c>
    </row>
    <row r="55" spans="1:14" x14ac:dyDescent="0.15">
      <c r="A55" s="2">
        <v>44070</v>
      </c>
      <c r="B55" s="2" t="str">
        <f t="shared" si="2"/>
        <v>木</v>
      </c>
      <c r="C55" s="2"/>
      <c r="D55" s="1" t="s">
        <v>213</v>
      </c>
      <c r="E55" s="1" t="s">
        <v>159</v>
      </c>
      <c r="F55" s="1" t="s">
        <v>214</v>
      </c>
      <c r="G55" s="1" t="s">
        <v>228</v>
      </c>
      <c r="H55" s="1"/>
      <c r="I55" s="1"/>
      <c r="J55" s="1"/>
      <c r="K55" s="8" t="str">
        <f>IFERROR(HYPERLINK(VLOOKUP(D55,データ!$B:$C,2,FALSE),D55),"※no-data")</f>
        <v>※no-data</v>
      </c>
      <c r="L55" s="8" t="str">
        <f>IFERROR(HYPERLINK(VLOOKUP(E55,データ!$B:$C,2,FALSE),E55),"※no-data")</f>
        <v>ジャガイモ麺つゆバター煮</v>
      </c>
      <c r="M55" s="8" t="str">
        <f>IFERROR(HYPERLINK(VLOOKUP(F55,データ!$B:$C,2,FALSE),F55),"※no-data")</f>
        <v>ごぼうの甘辛</v>
      </c>
      <c r="N55" s="8" t="str">
        <f>IFERROR(HYPERLINK(VLOOKUP(G55,データ!$B:$C,2,FALSE),G55),"※no-data")</f>
        <v>ほうれん草サラダ</v>
      </c>
    </row>
    <row r="56" spans="1:14" x14ac:dyDescent="0.15">
      <c r="A56" s="2">
        <v>44071</v>
      </c>
      <c r="B56" s="2" t="str">
        <f t="shared" si="2"/>
        <v>金</v>
      </c>
      <c r="C56" s="2" t="s">
        <v>170</v>
      </c>
      <c r="D56" s="1" t="s">
        <v>211</v>
      </c>
      <c r="E56" s="1" t="s">
        <v>212</v>
      </c>
      <c r="F56" s="1" t="s">
        <v>214</v>
      </c>
      <c r="G56" s="1" t="s">
        <v>227</v>
      </c>
      <c r="H56" s="1"/>
      <c r="I56" s="1"/>
      <c r="J56" s="1"/>
      <c r="K56" s="8" t="str">
        <f>IFERROR(HYPERLINK(VLOOKUP(D56,データ!$B:$C,2,FALSE),D56),"※no-data")</f>
        <v>鶏つくね団子</v>
      </c>
      <c r="L56" s="8" t="str">
        <f>IFERROR(HYPERLINK(VLOOKUP(E56,データ!$B:$C,2,FALSE),E56),"※no-data")</f>
        <v>※no-data</v>
      </c>
      <c r="M56" s="8" t="str">
        <f>IFERROR(HYPERLINK(VLOOKUP(F56,データ!$B:$C,2,FALSE),F56),"※no-data")</f>
        <v>ごぼうの甘辛</v>
      </c>
      <c r="N56" s="8" t="str">
        <f>IFERROR(HYPERLINK(VLOOKUP(G56,データ!$B:$C,2,FALSE),G56),"※no-data")</f>
        <v>ほうれん草サラダ</v>
      </c>
    </row>
    <row r="57" spans="1:14" x14ac:dyDescent="0.15">
      <c r="A57" s="2">
        <v>44072</v>
      </c>
      <c r="B57" s="2" t="str">
        <f t="shared" si="2"/>
        <v>土</v>
      </c>
      <c r="C57" s="2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x14ac:dyDescent="0.15">
      <c r="A58" s="2">
        <v>44073</v>
      </c>
      <c r="B58" s="2" t="str">
        <f t="shared" si="2"/>
        <v>日</v>
      </c>
      <c r="C58" s="2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x14ac:dyDescent="0.15">
      <c r="A59" s="2">
        <v>44074</v>
      </c>
      <c r="B59" s="2" t="str">
        <f t="shared" si="2"/>
        <v>月</v>
      </c>
      <c r="C59" s="2"/>
      <c r="D59" s="1" t="s">
        <v>147</v>
      </c>
      <c r="E59" s="1" t="s">
        <v>229</v>
      </c>
      <c r="F59" s="1" t="s">
        <v>231</v>
      </c>
      <c r="G59" s="1" t="s">
        <v>232</v>
      </c>
      <c r="H59" s="1" t="s">
        <v>230</v>
      </c>
      <c r="I59" s="1"/>
      <c r="J59" s="1"/>
      <c r="K59" s="8" t="str">
        <f>IFERROR(HYPERLINK(VLOOKUP(D59,データ!$B:$C,2,FALSE),D59),"※no-data")</f>
        <v>鶏むね味噌マヨ焼き</v>
      </c>
      <c r="L59" s="8" t="str">
        <f>IFERROR(HYPERLINK(VLOOKUP(E59,データ!$B:$C,2,FALSE),E59),"※no-data")</f>
        <v>だし巻き卵</v>
      </c>
      <c r="M59" s="8" t="str">
        <f>IFERROR(HYPERLINK(VLOOKUP(F59,データ!$B:$C,2,FALSE),F59),"※no-data")</f>
        <v>※no-data</v>
      </c>
      <c r="N59" s="8" t="str">
        <f>IFERROR(HYPERLINK(VLOOKUP(G59,データ!$B:$C,2,FALSE),G59),"※no-data")</f>
        <v>ちくわと海苔のサラダ</v>
      </c>
    </row>
    <row r="60" spans="1:14" x14ac:dyDescent="0.15">
      <c r="A60" s="2">
        <v>44075</v>
      </c>
      <c r="B60" s="2" t="str">
        <f t="shared" si="2"/>
        <v>火</v>
      </c>
      <c r="C60" s="2"/>
      <c r="D60" s="1" t="s">
        <v>147</v>
      </c>
      <c r="E60" s="1" t="s">
        <v>133</v>
      </c>
      <c r="F60" s="1" t="s">
        <v>196</v>
      </c>
      <c r="G60" s="1" t="s">
        <v>232</v>
      </c>
      <c r="H60" s="1"/>
      <c r="I60" s="1"/>
      <c r="J60" s="1"/>
      <c r="K60" s="8" t="str">
        <f>IFERROR(HYPERLINK(VLOOKUP(D60,データ!$B:$C,2,FALSE),D60),"※no-data")</f>
        <v>鶏むね味噌マヨ焼き</v>
      </c>
      <c r="L60" s="8" t="str">
        <f>IFERROR(HYPERLINK(VLOOKUP(E60,データ!$B:$C,2,FALSE),E60),"※no-data")</f>
        <v>だし巻き卵</v>
      </c>
      <c r="M60" s="8" t="str">
        <f>IFERROR(HYPERLINK(VLOOKUP(F60,データ!$B:$C,2,FALSE),F60),"※no-data")</f>
        <v>なすの焼肉</v>
      </c>
      <c r="N60" s="8" t="str">
        <f>IFERROR(HYPERLINK(VLOOKUP(G60,データ!$B:$C,2,FALSE),G60),"※no-data")</f>
        <v>ちくわと海苔のサラダ</v>
      </c>
    </row>
    <row r="61" spans="1:14" x14ac:dyDescent="0.15">
      <c r="A61" s="2">
        <v>44076</v>
      </c>
      <c r="B61" s="2" t="str">
        <f t="shared" ref="B61:B64" si="3">TEXT(A61,"aaa")</f>
        <v>水</v>
      </c>
      <c r="C61" s="2"/>
      <c r="D61" s="1" t="s">
        <v>237</v>
      </c>
      <c r="E61" s="1" t="s">
        <v>235</v>
      </c>
      <c r="F61" s="1" t="s">
        <v>196</v>
      </c>
      <c r="G61" s="1" t="s">
        <v>35</v>
      </c>
      <c r="H61" s="1"/>
      <c r="I61" s="1"/>
      <c r="J61" s="1"/>
      <c r="K61" s="8" t="str">
        <f>IFERROR(HYPERLINK(VLOOKUP(D61,データ!$B:$C,2,FALSE),D61),"※no-data")</f>
        <v>※no-data</v>
      </c>
      <c r="L61" s="8" t="str">
        <f>IFERROR(HYPERLINK(VLOOKUP(E61,データ!$B:$C,2,FALSE),E61),"※no-data")</f>
        <v>ごぼうの胡麻和え</v>
      </c>
      <c r="M61" s="8" t="str">
        <f>IFERROR(HYPERLINK(VLOOKUP(F61,データ!$B:$C,2,FALSE),F61),"※no-data")</f>
        <v>なすの焼肉</v>
      </c>
      <c r="N61" s="8" t="str">
        <f>IFERROR(HYPERLINK(VLOOKUP(G61,データ!$B:$C,2,FALSE),G61),"※no-data")</f>
        <v>クルトンサラダ</v>
      </c>
    </row>
    <row r="62" spans="1:14" x14ac:dyDescent="0.15">
      <c r="A62" s="2">
        <v>44077</v>
      </c>
      <c r="B62" s="2" t="str">
        <f t="shared" si="3"/>
        <v>木</v>
      </c>
      <c r="C62" s="2"/>
      <c r="D62" s="1" t="s">
        <v>245</v>
      </c>
      <c r="E62" s="1" t="s">
        <v>235</v>
      </c>
      <c r="F62" s="1" t="s">
        <v>238</v>
      </c>
      <c r="G62" s="1" t="s">
        <v>243</v>
      </c>
      <c r="H62" s="1"/>
      <c r="I62" s="1"/>
      <c r="J62" s="1"/>
      <c r="K62" s="8" t="str">
        <f>IFERROR(HYPERLINK(VLOOKUP(D62,データ!$B:$C,2,FALSE),D62),"※no-data")</f>
        <v>アスパラガスの挽き肉巻き</v>
      </c>
      <c r="L62" s="8" t="str">
        <f>IFERROR(HYPERLINK(VLOOKUP(E62,データ!$B:$C,2,FALSE),E62),"※no-data")</f>
        <v>ごぼうの胡麻和え</v>
      </c>
      <c r="M62" s="8" t="str">
        <f>IFERROR(HYPERLINK(VLOOKUP(F62,データ!$B:$C,2,FALSE),F62),"※no-data")</f>
        <v>なすとピーマンの炒め物</v>
      </c>
      <c r="N62" s="8" t="str">
        <f>IFERROR(HYPERLINK(VLOOKUP(G62,データ!$B:$C,2,FALSE),G62),"※no-data")</f>
        <v>たまごサラダ</v>
      </c>
    </row>
    <row r="63" spans="1:14" x14ac:dyDescent="0.15">
      <c r="A63" s="2">
        <v>44078</v>
      </c>
      <c r="B63" s="2" t="str">
        <f t="shared" si="3"/>
        <v>金</v>
      </c>
      <c r="C63" s="2" t="s">
        <v>170</v>
      </c>
      <c r="D63" s="1" t="s">
        <v>245</v>
      </c>
      <c r="E63" s="1" t="s">
        <v>190</v>
      </c>
      <c r="F63" s="1" t="s">
        <v>238</v>
      </c>
      <c r="G63" s="1" t="s">
        <v>240</v>
      </c>
      <c r="H63" s="1"/>
      <c r="I63" s="1"/>
      <c r="J63" s="1"/>
      <c r="K63" s="8" t="str">
        <f>IFERROR(HYPERLINK(VLOOKUP(D63,データ!$B:$C,2,FALSE),D63),"※no-data")</f>
        <v>アスパラガスの挽き肉巻き</v>
      </c>
      <c r="L63" s="8" t="str">
        <f>IFERROR(HYPERLINK(VLOOKUP(E63,データ!$B:$C,2,FALSE),E63),"※no-data")</f>
        <v>※no-data</v>
      </c>
      <c r="M63" s="8" t="str">
        <f>IFERROR(HYPERLINK(VLOOKUP(F63,データ!$B:$C,2,FALSE),F63),"※no-data")</f>
        <v>なすとピーマンの炒め物</v>
      </c>
      <c r="N63" s="8" t="str">
        <f>IFERROR(HYPERLINK(VLOOKUP(G63,データ!$B:$C,2,FALSE),G63),"※no-data")</f>
        <v>たまごサラダ</v>
      </c>
    </row>
    <row r="64" spans="1:14" x14ac:dyDescent="0.15">
      <c r="A64" s="2">
        <v>44079</v>
      </c>
      <c r="B64" s="2" t="str">
        <f t="shared" si="3"/>
        <v>土</v>
      </c>
      <c r="C64" s="2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x14ac:dyDescent="0.15">
      <c r="A65" s="2">
        <v>44080</v>
      </c>
      <c r="B65" s="2" t="str">
        <f t="shared" ref="B65:B90" si="4">TEXT(A65,"aaa")</f>
        <v>日</v>
      </c>
      <c r="C65" s="2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x14ac:dyDescent="0.15">
      <c r="A66" s="2">
        <v>44081</v>
      </c>
      <c r="B66" s="2" t="str">
        <f t="shared" si="4"/>
        <v>月</v>
      </c>
      <c r="C66" s="2"/>
      <c r="D66" s="1" t="s">
        <v>261</v>
      </c>
      <c r="E66" s="1" t="s">
        <v>258</v>
      </c>
      <c r="F66" s="1" t="s">
        <v>263</v>
      </c>
      <c r="G66" s="1" t="s">
        <v>260</v>
      </c>
      <c r="H66" s="1"/>
      <c r="I66" s="1"/>
      <c r="J66" s="1"/>
      <c r="K66" s="8" t="str">
        <f>IFERROR(HYPERLINK(VLOOKUP(D66,データ!$B:$C,2,FALSE),D66),"※no-data")</f>
        <v>※no-data</v>
      </c>
      <c r="L66" s="8" t="str">
        <f>IFERROR(HYPERLINK(VLOOKUP(E66,データ!$B:$C,2,FALSE),E66),"※no-data")</f>
        <v>だし巻き卵</v>
      </c>
      <c r="M66" s="8" t="str">
        <f>IFERROR(HYPERLINK(VLOOKUP(F66,データ!$B:$C,2,FALSE),F66),"※no-data")</f>
        <v>ほうれん草の胡麻和え</v>
      </c>
      <c r="N66" s="8" t="str">
        <f>IFERROR(HYPERLINK(VLOOKUP(G66,データ!$B:$C,2,FALSE),G66),"※no-data")</f>
        <v>アスパラサラダ</v>
      </c>
    </row>
    <row r="67" spans="1:14" x14ac:dyDescent="0.15">
      <c r="A67" s="2">
        <v>44082</v>
      </c>
      <c r="B67" s="2" t="str">
        <f t="shared" si="4"/>
        <v>火</v>
      </c>
      <c r="C67" s="2"/>
      <c r="D67" s="1" t="s">
        <v>98</v>
      </c>
      <c r="E67" s="1" t="s">
        <v>274</v>
      </c>
      <c r="F67" s="1" t="s">
        <v>263</v>
      </c>
      <c r="G67" s="1" t="s">
        <v>260</v>
      </c>
      <c r="H67" s="1"/>
      <c r="I67" s="1"/>
      <c r="J67" s="1"/>
      <c r="K67" s="8" t="str">
        <f>IFERROR(HYPERLINK(VLOOKUP(D67,データ!$B:$C,2,FALSE),D67),"※no-data")</f>
        <v>豚肉ピーマンオイスターソース</v>
      </c>
      <c r="L67" s="8" t="str">
        <f>IFERROR(HYPERLINK(VLOOKUP(E67,データ!$B:$C,2,FALSE),E67),"※no-data")</f>
        <v>ごぼうとベーコンの塩炒め</v>
      </c>
      <c r="M67" s="8" t="str">
        <f>IFERROR(HYPERLINK(VLOOKUP(F67,データ!$B:$C,2,FALSE),F67),"※no-data")</f>
        <v>ほうれん草の胡麻和え</v>
      </c>
      <c r="N67" s="8" t="str">
        <f>IFERROR(HYPERLINK(VLOOKUP(G67,データ!$B:$C,2,FALSE),G67),"※no-data")</f>
        <v>アスパラサラダ</v>
      </c>
    </row>
    <row r="68" spans="1:14" x14ac:dyDescent="0.15">
      <c r="A68" s="2">
        <v>44083</v>
      </c>
      <c r="B68" s="2" t="str">
        <f t="shared" si="4"/>
        <v>水</v>
      </c>
      <c r="C68" s="2"/>
      <c r="D68" s="1" t="s">
        <v>98</v>
      </c>
      <c r="E68" s="1" t="s">
        <v>133</v>
      </c>
      <c r="F68" t="s">
        <v>129</v>
      </c>
      <c r="G68" s="1" t="s">
        <v>227</v>
      </c>
      <c r="H68" s="1"/>
      <c r="I68" s="1"/>
      <c r="J68" s="1"/>
      <c r="K68" s="8" t="str">
        <f>IFERROR(HYPERLINK(VLOOKUP(D68,データ!$B:$C,2,FALSE),D68),"※no-data")</f>
        <v>豚肉ピーマンオイスターソース</v>
      </c>
      <c r="L68" s="8" t="str">
        <f>IFERROR(HYPERLINK(VLOOKUP(E68,データ!$B:$C,2,FALSE),E68),"※no-data")</f>
        <v>だし巻き卵</v>
      </c>
      <c r="M68" s="8" t="str">
        <f>IFERROR(HYPERLINK(VLOOKUP(F68,データ!$B:$C,2,FALSE),F68),"※no-data")</f>
        <v>しめじバターポン酢</v>
      </c>
      <c r="N68" s="8" t="str">
        <f>IFERROR(HYPERLINK(VLOOKUP(G68,データ!$B:$C,2,FALSE),G68),"※no-data")</f>
        <v>ほうれん草サラダ</v>
      </c>
    </row>
    <row r="69" spans="1:14" x14ac:dyDescent="0.15">
      <c r="A69" s="2">
        <v>44084</v>
      </c>
      <c r="B69" s="2" t="str">
        <f t="shared" si="4"/>
        <v>木</v>
      </c>
      <c r="C69" s="2"/>
      <c r="D69" s="1" t="s">
        <v>287</v>
      </c>
      <c r="E69" s="1" t="s">
        <v>274</v>
      </c>
      <c r="F69" s="1" t="s">
        <v>285</v>
      </c>
      <c r="G69" s="1" t="s">
        <v>227</v>
      </c>
      <c r="H69" s="1"/>
      <c r="I69" s="1"/>
      <c r="J69" s="1"/>
      <c r="K69" s="8" t="str">
        <f>IFERROR(HYPERLINK(VLOOKUP(D69,データ!$B:$C,2,FALSE),D69),"※no-data")</f>
        <v>タラの照り焼き</v>
      </c>
      <c r="L69" s="8" t="str">
        <f>IFERROR(HYPERLINK(VLOOKUP(E69,データ!$B:$C,2,FALSE),E69),"※no-data")</f>
        <v>ごぼうとベーコンの塩炒め</v>
      </c>
      <c r="M69" s="8" t="str">
        <f>IFERROR(HYPERLINK(VLOOKUP(F69,データ!$B:$C,2,FALSE),F69),"※no-data")</f>
        <v>ナスとしめじのゆず胡椒炒め</v>
      </c>
      <c r="N69" s="8" t="str">
        <f>IFERROR(HYPERLINK(VLOOKUP(G69,データ!$B:$C,2,FALSE),G69),"※no-data")</f>
        <v>ほうれん草サラダ</v>
      </c>
    </row>
    <row r="70" spans="1:14" x14ac:dyDescent="0.15">
      <c r="A70" s="2">
        <v>44085</v>
      </c>
      <c r="B70" s="2" t="str">
        <f t="shared" si="4"/>
        <v>金</v>
      </c>
      <c r="C70" s="2" t="s">
        <v>170</v>
      </c>
      <c r="D70" s="1" t="s">
        <v>287</v>
      </c>
      <c r="E70" s="1"/>
      <c r="F70" s="1" t="s">
        <v>285</v>
      </c>
      <c r="G70" s="1" t="s">
        <v>227</v>
      </c>
      <c r="H70" s="1"/>
      <c r="I70" s="1"/>
      <c r="J70" s="1"/>
      <c r="K70" s="8" t="str">
        <f>IFERROR(HYPERLINK(VLOOKUP(D70,データ!$B:$C,2,FALSE),D70),"※no-data")</f>
        <v>タラの照り焼き</v>
      </c>
      <c r="L70" s="8" t="str">
        <f>IFERROR(HYPERLINK(VLOOKUP(E70,データ!$B:$C,2,FALSE),E70),"※no-data")</f>
        <v>※no-data</v>
      </c>
      <c r="M70" s="8" t="str">
        <f>IFERROR(HYPERLINK(VLOOKUP(F70,データ!$B:$C,2,FALSE),F70),"※no-data")</f>
        <v>ナスとしめじのゆず胡椒炒め</v>
      </c>
      <c r="N70" s="8" t="str">
        <f>IFERROR(HYPERLINK(VLOOKUP(G70,データ!$B:$C,2,FALSE),G70),"※no-data")</f>
        <v>ほうれん草サラダ</v>
      </c>
    </row>
    <row r="71" spans="1:14" x14ac:dyDescent="0.15">
      <c r="A71" s="2">
        <v>44086</v>
      </c>
      <c r="B71" s="2" t="str">
        <f t="shared" si="4"/>
        <v>土</v>
      </c>
      <c r="C71" s="2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x14ac:dyDescent="0.15">
      <c r="A72" s="2">
        <v>44087</v>
      </c>
      <c r="B72" s="2" t="str">
        <f t="shared" si="4"/>
        <v>日</v>
      </c>
      <c r="C72" s="2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x14ac:dyDescent="0.15">
      <c r="A73" s="2">
        <v>44088</v>
      </c>
      <c r="B73" s="2" t="str">
        <f t="shared" si="4"/>
        <v>月</v>
      </c>
      <c r="C73" s="2"/>
      <c r="D73" s="1" t="s">
        <v>251</v>
      </c>
      <c r="E73" s="1" t="s">
        <v>133</v>
      </c>
      <c r="F73" s="1" t="s">
        <v>294</v>
      </c>
      <c r="G73" s="1" t="s">
        <v>292</v>
      </c>
      <c r="H73" s="1"/>
      <c r="I73" s="1"/>
      <c r="J73" s="1"/>
      <c r="K73" s="8" t="str">
        <f>IFERROR(HYPERLINK(VLOOKUP(D73,データ!$B:$C,2,FALSE),D73),"※no-data")</f>
        <v>ピーマンの肉詰め</v>
      </c>
      <c r="L73" s="8" t="str">
        <f>IFERROR(HYPERLINK(VLOOKUP(E73,データ!$B:$C,2,FALSE),E73),"※no-data")</f>
        <v>だし巻き卵</v>
      </c>
      <c r="M73" s="8" t="str">
        <f>IFERROR(HYPERLINK(VLOOKUP(F73,データ!$B:$C,2,FALSE),F73),"※no-data")</f>
        <v>※no-data</v>
      </c>
      <c r="N73" s="8" t="str">
        <f>IFERROR(HYPERLINK(VLOOKUP(G73,データ!$B:$C,2,FALSE),G73),"※no-data")</f>
        <v>レタスサラダ</v>
      </c>
    </row>
    <row r="74" spans="1:14" x14ac:dyDescent="0.15">
      <c r="A74" s="2">
        <v>44089</v>
      </c>
      <c r="B74" s="2" t="str">
        <f t="shared" si="4"/>
        <v>火</v>
      </c>
      <c r="C74" s="2"/>
      <c r="D74" s="1" t="s">
        <v>251</v>
      </c>
      <c r="E74" s="1" t="s">
        <v>300</v>
      </c>
      <c r="F74" s="1" t="s">
        <v>12</v>
      </c>
      <c r="G74" s="1" t="s">
        <v>299</v>
      </c>
      <c r="H74" s="1"/>
      <c r="I74" s="1"/>
      <c r="J74" s="1"/>
      <c r="K74" s="8" t="str">
        <f>IFERROR(HYPERLINK(VLOOKUP(D74,データ!$B:$C,2,FALSE),D74),"※no-data")</f>
        <v>ピーマンの肉詰め</v>
      </c>
      <c r="L74" s="8" t="str">
        <f>IFERROR(HYPERLINK(VLOOKUP(E74,データ!$B:$C,2,FALSE),E74),"※no-data")</f>
        <v>シイタケのおかか和え</v>
      </c>
      <c r="M74" s="8" t="str">
        <f>IFERROR(HYPERLINK(VLOOKUP(F74,データ!$B:$C,2,FALSE),F74),"※no-data")</f>
        <v>いんげん胡麻和え</v>
      </c>
      <c r="N74" s="8" t="str">
        <f>IFERROR(HYPERLINK(VLOOKUP(G74,データ!$B:$C,2,FALSE),G74),"※no-data")</f>
        <v>ゆで卵サラダ</v>
      </c>
    </row>
    <row r="75" spans="1:14" x14ac:dyDescent="0.15">
      <c r="A75" s="2">
        <v>44090</v>
      </c>
      <c r="B75" s="2" t="str">
        <f t="shared" si="4"/>
        <v>水</v>
      </c>
      <c r="C75" s="2"/>
      <c r="D75" s="1" t="s">
        <v>64</v>
      </c>
      <c r="E75" s="1" t="s">
        <v>133</v>
      </c>
      <c r="F75" s="1" t="s">
        <v>300</v>
      </c>
      <c r="G75" s="1" t="s">
        <v>75</v>
      </c>
      <c r="H75" s="1"/>
      <c r="I75" s="1"/>
      <c r="J75" s="1"/>
      <c r="K75" s="8" t="str">
        <f>IFERROR(HYPERLINK(VLOOKUP(D75,データ!$B:$C,2,FALSE),D75),"※no-data")</f>
        <v>※no-data</v>
      </c>
      <c r="L75" s="8" t="str">
        <f>IFERROR(HYPERLINK(VLOOKUP(E75,データ!$B:$C,2,FALSE),E75),"※no-data")</f>
        <v>だし巻き卵</v>
      </c>
      <c r="M75" s="8" t="str">
        <f>IFERROR(HYPERLINK(VLOOKUP(F75,データ!$B:$C,2,FALSE),F75),"※no-data")</f>
        <v>シイタケのおかか和え</v>
      </c>
      <c r="N75" s="8" t="str">
        <f>IFERROR(HYPERLINK(VLOOKUP(G75,データ!$B:$C,2,FALSE),G75),"※no-data")</f>
        <v>ゆで卵サラダ</v>
      </c>
    </row>
    <row r="76" spans="1:14" x14ac:dyDescent="0.15">
      <c r="A76" s="2">
        <v>44091</v>
      </c>
      <c r="B76" s="2" t="str">
        <f t="shared" si="4"/>
        <v>木</v>
      </c>
      <c r="C76" s="2"/>
      <c r="D76" s="1" t="s">
        <v>252</v>
      </c>
      <c r="E76" s="1" t="s">
        <v>12</v>
      </c>
      <c r="F76" s="1" t="s">
        <v>296</v>
      </c>
      <c r="G76" s="1" t="s">
        <v>293</v>
      </c>
      <c r="H76" s="1"/>
      <c r="I76" s="1"/>
      <c r="J76" s="1"/>
      <c r="K76" s="8" t="str">
        <f>IFERROR(HYPERLINK(VLOOKUP(D76,データ!$B:$C,2,FALSE),D76),"※no-data")</f>
        <v>シイタケの肉詰め</v>
      </c>
      <c r="L76" s="8" t="str">
        <f>IFERROR(HYPERLINK(VLOOKUP(E76,データ!$B:$C,2,FALSE),E76),"※no-data")</f>
        <v>いんげん胡麻和え</v>
      </c>
      <c r="M76" s="8" t="str">
        <f>IFERROR(HYPERLINK(VLOOKUP(F76,データ!$B:$C,2,FALSE),F76),"※no-data")</f>
        <v>ごぼうとピーマンのきんぴら</v>
      </c>
      <c r="N76" s="8" t="str">
        <f>IFERROR(HYPERLINK(VLOOKUP(G76,データ!$B:$C,2,FALSE),G76),"※no-data")</f>
        <v>チキンサラダ</v>
      </c>
    </row>
    <row r="77" spans="1:14" x14ac:dyDescent="0.15">
      <c r="A77" s="2">
        <v>44092</v>
      </c>
      <c r="B77" s="2" t="str">
        <f t="shared" si="4"/>
        <v>金</v>
      </c>
      <c r="C77" s="2" t="s">
        <v>170</v>
      </c>
      <c r="D77" s="1" t="s">
        <v>252</v>
      </c>
      <c r="E77" s="1" t="s">
        <v>294</v>
      </c>
      <c r="F77" s="1" t="s">
        <v>296</v>
      </c>
      <c r="G77" s="1" t="s">
        <v>293</v>
      </c>
      <c r="H77" s="1"/>
      <c r="I77" s="1"/>
      <c r="J77" s="1"/>
      <c r="K77" s="8" t="str">
        <f>IFERROR(HYPERLINK(VLOOKUP(D77,データ!$B:$C,2,FALSE),D77),"※no-data")</f>
        <v>シイタケの肉詰め</v>
      </c>
      <c r="L77" s="8" t="str">
        <f>IFERROR(HYPERLINK(VLOOKUP(E77,データ!$B:$C,2,FALSE),E77),"※no-data")</f>
        <v>※no-data</v>
      </c>
      <c r="M77" s="8" t="str">
        <f>IFERROR(HYPERLINK(VLOOKUP(F77,データ!$B:$C,2,FALSE),F77),"※no-data")</f>
        <v>ごぼうとピーマンのきんぴら</v>
      </c>
      <c r="N77" s="8" t="str">
        <f>IFERROR(HYPERLINK(VLOOKUP(G77,データ!$B:$C,2,FALSE),G77),"※no-data")</f>
        <v>チキンサラダ</v>
      </c>
    </row>
    <row r="78" spans="1:14" x14ac:dyDescent="0.15">
      <c r="A78" s="2">
        <v>44093</v>
      </c>
      <c r="B78" s="2" t="str">
        <f t="shared" si="4"/>
        <v>土</v>
      </c>
      <c r="C78" s="2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x14ac:dyDescent="0.15">
      <c r="A79" s="2">
        <v>44094</v>
      </c>
      <c r="B79" s="2" t="str">
        <f t="shared" si="4"/>
        <v>日</v>
      </c>
      <c r="C79" s="2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x14ac:dyDescent="0.15">
      <c r="A80" s="2">
        <v>44095</v>
      </c>
      <c r="B80" s="2" t="str">
        <f t="shared" si="4"/>
        <v>月</v>
      </c>
      <c r="C80" s="2" t="s">
        <v>307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x14ac:dyDescent="0.15">
      <c r="A81" s="2">
        <v>44096</v>
      </c>
      <c r="B81" s="2" t="str">
        <f t="shared" si="4"/>
        <v>火</v>
      </c>
      <c r="C81" s="2" t="s">
        <v>308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x14ac:dyDescent="0.15">
      <c r="A82" s="2">
        <v>44097</v>
      </c>
      <c r="B82" s="2" t="str">
        <f t="shared" si="4"/>
        <v>水</v>
      </c>
      <c r="C82" s="2" t="s">
        <v>308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x14ac:dyDescent="0.15">
      <c r="A83" s="2">
        <v>44098</v>
      </c>
      <c r="B83" s="2" t="str">
        <f t="shared" si="4"/>
        <v>木</v>
      </c>
      <c r="C83" s="2" t="s">
        <v>309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x14ac:dyDescent="0.15">
      <c r="A84" s="2">
        <v>44099</v>
      </c>
      <c r="B84" s="2" t="str">
        <f t="shared" si="4"/>
        <v>金</v>
      </c>
      <c r="C84" s="2" t="s">
        <v>170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x14ac:dyDescent="0.15">
      <c r="A85" s="2">
        <v>44100</v>
      </c>
      <c r="B85" s="2" t="str">
        <f t="shared" si="4"/>
        <v>土</v>
      </c>
      <c r="C85" s="2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x14ac:dyDescent="0.15">
      <c r="A86" s="2">
        <v>44101</v>
      </c>
      <c r="B86" s="2" t="str">
        <f t="shared" si="4"/>
        <v>日</v>
      </c>
      <c r="C86" s="2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x14ac:dyDescent="0.15">
      <c r="A87" s="2">
        <v>44102</v>
      </c>
      <c r="B87" s="2" t="str">
        <f t="shared" si="4"/>
        <v>月</v>
      </c>
      <c r="C87" s="2"/>
      <c r="D87" s="1" t="s">
        <v>310</v>
      </c>
      <c r="E87" s="1" t="s">
        <v>311</v>
      </c>
      <c r="F87" s="1" t="s">
        <v>312</v>
      </c>
      <c r="G87" s="1" t="s">
        <v>313</v>
      </c>
      <c r="H87" s="1"/>
      <c r="I87" s="1"/>
      <c r="J87" s="1"/>
      <c r="K87" s="8" t="str">
        <f>IFERROR(HYPERLINK(VLOOKUP(D87,データ!$B:$C,2,FALSE),D87),"※no-data")</f>
        <v>※no-data</v>
      </c>
      <c r="L87" s="8" t="str">
        <f>IFERROR(HYPERLINK(VLOOKUP(E87,データ!$B:$C,2,FALSE),E87),"※no-data")</f>
        <v>アスパラだし巻き卵</v>
      </c>
      <c r="M87" s="8" t="str">
        <f>IFERROR(HYPERLINK(VLOOKUP(F87,データ!$B:$C,2,FALSE),F87),"※no-data")</f>
        <v>※no-data</v>
      </c>
      <c r="N87" s="8" t="str">
        <f>IFERROR(HYPERLINK(VLOOKUP(G87,データ!$B:$C,2,FALSE),G87),"※no-data")</f>
        <v>※no-data</v>
      </c>
    </row>
    <row r="88" spans="1:14" x14ac:dyDescent="0.15">
      <c r="A88" s="2">
        <v>44103</v>
      </c>
      <c r="B88" s="2" t="str">
        <f t="shared" si="4"/>
        <v>火</v>
      </c>
      <c r="C88" s="2"/>
      <c r="D88" s="1" t="s">
        <v>318</v>
      </c>
      <c r="E88" s="1" t="s">
        <v>311</v>
      </c>
      <c r="F88" s="1" t="s">
        <v>54</v>
      </c>
      <c r="G88" s="1" t="s">
        <v>313</v>
      </c>
      <c r="H88" s="1"/>
      <c r="I88" s="1"/>
      <c r="J88" s="1"/>
      <c r="K88" s="8" t="str">
        <f>IFERROR(HYPERLINK(VLOOKUP(D88,データ!$B:$C,2,FALSE),D88),"※no-data")</f>
        <v>塩サバのパリパリ焼き</v>
      </c>
      <c r="L88" s="8" t="str">
        <f>IFERROR(HYPERLINK(VLOOKUP(E88,データ!$B:$C,2,FALSE),E88),"※no-data")</f>
        <v>アスパラだし巻き卵</v>
      </c>
      <c r="M88" s="8" t="str">
        <f>IFERROR(HYPERLINK(VLOOKUP(F88,データ!$B:$C,2,FALSE),F88),"※no-data")</f>
        <v>人参明太子</v>
      </c>
      <c r="N88" s="8" t="str">
        <f>IFERROR(HYPERLINK(VLOOKUP(G88,データ!$B:$C,2,FALSE),G88),"※no-data")</f>
        <v>※no-data</v>
      </c>
    </row>
    <row r="89" spans="1:14" x14ac:dyDescent="0.15">
      <c r="A89" s="2">
        <v>44104</v>
      </c>
      <c r="B89" s="2" t="str">
        <f t="shared" si="4"/>
        <v>水</v>
      </c>
      <c r="C89" s="2"/>
      <c r="D89" s="1" t="s">
        <v>318</v>
      </c>
      <c r="E89" s="1" t="s">
        <v>314</v>
      </c>
      <c r="F89" s="1" t="s">
        <v>312</v>
      </c>
      <c r="G89" s="1" t="s">
        <v>316</v>
      </c>
      <c r="H89" s="1"/>
      <c r="I89" s="1"/>
      <c r="J89" s="1"/>
      <c r="K89" s="8" t="str">
        <f>IFERROR(HYPERLINK(VLOOKUP(D89,データ!$B:$C,2,FALSE),D89),"※no-data")</f>
        <v>塩サバのパリパリ焼き</v>
      </c>
      <c r="L89" s="8" t="str">
        <f>IFERROR(HYPERLINK(VLOOKUP(E89,データ!$B:$C,2,FALSE),E89),"※no-data")</f>
        <v>※no-data</v>
      </c>
      <c r="M89" s="8" t="str">
        <f>IFERROR(HYPERLINK(VLOOKUP(F89,データ!$B:$C,2,FALSE),F89),"※no-data")</f>
        <v>※no-data</v>
      </c>
      <c r="N89" s="8" t="str">
        <f>IFERROR(HYPERLINK(VLOOKUP(G89,データ!$B:$C,2,FALSE),G89),"※no-data")</f>
        <v>ブロッコリーサラダ</v>
      </c>
    </row>
    <row r="90" spans="1:14" x14ac:dyDescent="0.15">
      <c r="A90" s="2">
        <v>44105</v>
      </c>
      <c r="B90" s="2" t="str">
        <f t="shared" si="4"/>
        <v>木</v>
      </c>
      <c r="C90" s="2"/>
      <c r="D90" s="1" t="s">
        <v>46</v>
      </c>
      <c r="E90" s="1" t="s">
        <v>320</v>
      </c>
      <c r="F90" s="1" t="s">
        <v>54</v>
      </c>
      <c r="G90" s="1" t="s">
        <v>315</v>
      </c>
      <c r="H90" s="1"/>
      <c r="I90" s="1"/>
      <c r="J90" s="1"/>
      <c r="K90" s="8" t="str">
        <f>IFERROR(HYPERLINK(VLOOKUP(D90,データ!$B:$C,2,FALSE),D90),"※no-data")</f>
        <v>鶏モモマヨポン酢</v>
      </c>
      <c r="L90" s="8" t="str">
        <f>IFERROR(HYPERLINK(VLOOKUP(E90,データ!$B:$C,2,FALSE),E90),"※no-data")</f>
        <v>玉ねぎの卵炒め</v>
      </c>
      <c r="M90" s="8" t="str">
        <f>IFERROR(HYPERLINK(VLOOKUP(F90,データ!$B:$C,2,FALSE),F90),"※no-data")</f>
        <v>人参明太子</v>
      </c>
      <c r="N90" s="8" t="str">
        <f>IFERROR(HYPERLINK(VLOOKUP(G90,データ!$B:$C,2,FALSE),G90),"※no-data")</f>
        <v>ブロッコリーサラダ</v>
      </c>
    </row>
    <row r="91" spans="1:14" x14ac:dyDescent="0.15">
      <c r="A91" s="2">
        <v>44106</v>
      </c>
      <c r="B91" s="2" t="str">
        <f t="shared" ref="B91:B93" si="5">TEXT(A91,"aaa")</f>
        <v>金</v>
      </c>
      <c r="C91" s="2" t="s">
        <v>170</v>
      </c>
      <c r="D91" s="1" t="s">
        <v>46</v>
      </c>
      <c r="E91" s="1" t="s">
        <v>320</v>
      </c>
      <c r="F91" s="1" t="s">
        <v>314</v>
      </c>
      <c r="G91" s="1" t="s">
        <v>315</v>
      </c>
      <c r="H91" s="1"/>
      <c r="I91" s="1"/>
      <c r="J91" s="1"/>
      <c r="K91" s="8" t="str">
        <f>IFERROR(HYPERLINK(VLOOKUP(D91,データ!$B:$C,2,FALSE),D91),"※no-data")</f>
        <v>鶏モモマヨポン酢</v>
      </c>
      <c r="L91" s="8" t="str">
        <f>IFERROR(HYPERLINK(VLOOKUP(E91,データ!$B:$C,2,FALSE),E91),"※no-data")</f>
        <v>玉ねぎの卵炒め</v>
      </c>
      <c r="M91" s="8" t="str">
        <f>IFERROR(HYPERLINK(VLOOKUP(F91,データ!$B:$C,2,FALSE),F91),"※no-data")</f>
        <v>※no-data</v>
      </c>
      <c r="N91" s="8" t="str">
        <f>IFERROR(HYPERLINK(VLOOKUP(G91,データ!$B:$C,2,FALSE),G91),"※no-data")</f>
        <v>ブロッコリーサラダ</v>
      </c>
    </row>
    <row r="92" spans="1:14" x14ac:dyDescent="0.15">
      <c r="A92" s="2">
        <v>44107</v>
      </c>
      <c r="B92" s="2" t="str">
        <f t="shared" si="5"/>
        <v>土</v>
      </c>
      <c r="C92" s="2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x14ac:dyDescent="0.15">
      <c r="A93" s="2">
        <v>44108</v>
      </c>
      <c r="B93" s="2" t="str">
        <f t="shared" si="5"/>
        <v>日</v>
      </c>
      <c r="C93" s="2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x14ac:dyDescent="0.15">
      <c r="A94" s="2">
        <v>44109</v>
      </c>
      <c r="B94" s="2" t="str">
        <f t="shared" ref="B94:B120" si="6">TEXT(A94,"aaa")</f>
        <v>月</v>
      </c>
      <c r="C94" s="2"/>
      <c r="D94" s="1" t="s">
        <v>324</v>
      </c>
      <c r="E94" s="1" t="s">
        <v>205</v>
      </c>
      <c r="F94" s="1" t="s">
        <v>322</v>
      </c>
      <c r="G94" s="1" t="s">
        <v>323</v>
      </c>
      <c r="H94" s="1"/>
      <c r="I94" s="1"/>
      <c r="J94" s="1"/>
      <c r="K94" s="8" t="str">
        <f>IFERROR(HYPERLINK(VLOOKUP(D94,データ!$B:$C,2,FALSE),D94),"※no-data")</f>
        <v>豚肉生姜焼き</v>
      </c>
      <c r="L94" s="8" t="str">
        <f>IFERROR(HYPERLINK(VLOOKUP(E94,データ!$B:$C,2,FALSE),E94),"※no-data")</f>
        <v>ほうれん草卵焼き</v>
      </c>
      <c r="M94" s="8" t="str">
        <f>IFERROR(HYPERLINK(VLOOKUP(F94,データ!$B:$C,2,FALSE),F94),"※no-data")</f>
        <v>※no-data</v>
      </c>
      <c r="N94" s="8" t="str">
        <f>IFERROR(HYPERLINK(VLOOKUP(G94,データ!$B:$C,2,FALSE),G94),"※no-data")</f>
        <v>レタスサラダ</v>
      </c>
    </row>
    <row r="95" spans="1:14" x14ac:dyDescent="0.15">
      <c r="A95" s="2">
        <v>44110</v>
      </c>
      <c r="B95" s="2" t="str">
        <f t="shared" si="6"/>
        <v>火</v>
      </c>
      <c r="C95" s="2"/>
      <c r="D95" s="1" t="s">
        <v>335</v>
      </c>
      <c r="E95" s="1" t="s">
        <v>205</v>
      </c>
      <c r="F95" s="1" t="s">
        <v>328</v>
      </c>
      <c r="G95" s="1" t="s">
        <v>323</v>
      </c>
      <c r="H95" s="1"/>
      <c r="I95" s="1"/>
      <c r="J95" s="1"/>
      <c r="K95" s="8" t="str">
        <f>IFERROR(HYPERLINK(VLOOKUP(D95,データ!$B:$C,2,FALSE),D95),"※no-data")</f>
        <v>鮭のごま甘酢照り焼き</v>
      </c>
      <c r="L95" s="8" t="str">
        <f>IFERROR(HYPERLINK(VLOOKUP(E95,データ!$B:$C,2,FALSE),E95),"※no-data")</f>
        <v>ほうれん草卵焼き</v>
      </c>
      <c r="M95" s="8" t="str">
        <f>IFERROR(HYPERLINK(VLOOKUP(F95,データ!$B:$C,2,FALSE),F95),"※no-data")</f>
        <v>ごぼうとこんにゃくのきんぴら</v>
      </c>
      <c r="N95" s="8" t="str">
        <f>IFERROR(HYPERLINK(VLOOKUP(G95,データ!$B:$C,2,FALSE),G95),"※no-data")</f>
        <v>レタスサラダ</v>
      </c>
    </row>
    <row r="96" spans="1:14" x14ac:dyDescent="0.15">
      <c r="A96" s="2">
        <v>44111</v>
      </c>
      <c r="B96" s="2" t="str">
        <f t="shared" si="6"/>
        <v>水</v>
      </c>
      <c r="C96" s="2"/>
      <c r="D96" s="1" t="s">
        <v>335</v>
      </c>
      <c r="E96" s="1" t="s">
        <v>326</v>
      </c>
      <c r="F96" s="1" t="s">
        <v>322</v>
      </c>
      <c r="G96" s="1" t="s">
        <v>329</v>
      </c>
      <c r="H96" s="1"/>
      <c r="I96" s="1"/>
      <c r="J96" s="1"/>
      <c r="K96" s="8" t="str">
        <f>IFERROR(HYPERLINK(VLOOKUP(D96,データ!$B:$C,2,FALSE),D96),"※no-data")</f>
        <v>鮭のごま甘酢照り焼き</v>
      </c>
      <c r="L96" s="8" t="str">
        <f>IFERROR(HYPERLINK(VLOOKUP(E96,データ!$B:$C,2,FALSE),E96),"※no-data")</f>
        <v>青梗菜と卵のオイスターソース炒め</v>
      </c>
      <c r="M96" s="8" t="str">
        <f>IFERROR(HYPERLINK(VLOOKUP(F96,データ!$B:$C,2,FALSE),F96),"※no-data")</f>
        <v>※no-data</v>
      </c>
      <c r="N96" s="8" t="str">
        <f>IFERROR(HYPERLINK(VLOOKUP(G96,データ!$B:$C,2,FALSE),G96),"※no-data")</f>
        <v>アボカドサラダ</v>
      </c>
    </row>
    <row r="97" spans="1:14" x14ac:dyDescent="0.15">
      <c r="A97" s="2">
        <v>44112</v>
      </c>
      <c r="B97" s="2" t="str">
        <f t="shared" si="6"/>
        <v>木</v>
      </c>
      <c r="C97" s="2"/>
      <c r="D97" s="1" t="s">
        <v>324</v>
      </c>
      <c r="E97" s="1" t="s">
        <v>73</v>
      </c>
      <c r="F97" s="1" t="s">
        <v>328</v>
      </c>
      <c r="G97" s="1" t="s">
        <v>329</v>
      </c>
      <c r="H97" s="1"/>
      <c r="I97" s="1"/>
      <c r="J97" s="1"/>
      <c r="K97" s="8" t="str">
        <f>IFERROR(HYPERLINK(VLOOKUP(D97,データ!$B:$C,2,FALSE),D97),"※no-data")</f>
        <v>豚肉生姜焼き</v>
      </c>
      <c r="L97" s="8" t="str">
        <f>IFERROR(HYPERLINK(VLOOKUP(E97,データ!$B:$C,2,FALSE),E97),"※no-data")</f>
        <v>玉ねぎ味噌炒め</v>
      </c>
      <c r="M97" s="8" t="str">
        <f>IFERROR(HYPERLINK(VLOOKUP(F97,データ!$B:$C,2,FALSE),F97),"※no-data")</f>
        <v>ごぼうとこんにゃくのきんぴら</v>
      </c>
      <c r="N97" s="8" t="str">
        <f>IFERROR(HYPERLINK(VLOOKUP(G97,データ!$B:$C,2,FALSE),G97),"※no-data")</f>
        <v>アボカドサラダ</v>
      </c>
    </row>
    <row r="98" spans="1:14" x14ac:dyDescent="0.15">
      <c r="A98" s="2">
        <v>44113</v>
      </c>
      <c r="B98" s="2" t="str">
        <f t="shared" si="6"/>
        <v>金</v>
      </c>
      <c r="C98" s="2" t="s">
        <v>170</v>
      </c>
      <c r="D98" s="1" t="s">
        <v>211</v>
      </c>
      <c r="E98" s="1" t="s">
        <v>73</v>
      </c>
      <c r="F98" s="1" t="s">
        <v>326</v>
      </c>
      <c r="G98" s="1" t="s">
        <v>330</v>
      </c>
      <c r="H98" s="1"/>
      <c r="I98" s="1"/>
      <c r="J98" s="1"/>
      <c r="K98" s="8" t="str">
        <f>IFERROR(HYPERLINK(VLOOKUP(D98,データ!$B:$C,2,FALSE),D98),"※no-data")</f>
        <v>鶏つくね団子</v>
      </c>
      <c r="L98" s="8" t="str">
        <f>IFERROR(HYPERLINK(VLOOKUP(E98,データ!$B:$C,2,FALSE),E98),"※no-data")</f>
        <v>玉ねぎ味噌炒め</v>
      </c>
      <c r="M98" s="8" t="str">
        <f>IFERROR(HYPERLINK(VLOOKUP(F98,データ!$B:$C,2,FALSE),F98),"※no-data")</f>
        <v>青梗菜と卵のオイスターソース炒め</v>
      </c>
      <c r="N98" s="8" t="str">
        <f>IFERROR(HYPERLINK(VLOOKUP(G98,データ!$B:$C,2,FALSE),G98),"※no-data")</f>
        <v>※no-data</v>
      </c>
    </row>
    <row r="99" spans="1:14" x14ac:dyDescent="0.15">
      <c r="A99" s="2">
        <v>44114</v>
      </c>
      <c r="B99" s="2" t="str">
        <f t="shared" si="6"/>
        <v>土</v>
      </c>
      <c r="C99" s="2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x14ac:dyDescent="0.15">
      <c r="A100" s="2">
        <v>44115</v>
      </c>
      <c r="B100" s="2" t="str">
        <f t="shared" si="6"/>
        <v>日</v>
      </c>
      <c r="C100" s="2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  <row r="101" spans="1:14" x14ac:dyDescent="0.15">
      <c r="A101" s="2">
        <v>44116</v>
      </c>
      <c r="B101" s="2" t="str">
        <f t="shared" si="6"/>
        <v>月</v>
      </c>
      <c r="C101" s="2"/>
      <c r="D101" s="1" t="s">
        <v>337</v>
      </c>
      <c r="E101" s="1" t="s">
        <v>336</v>
      </c>
      <c r="F101" s="1" t="s">
        <v>338</v>
      </c>
      <c r="G101" s="1" t="s">
        <v>340</v>
      </c>
      <c r="H101" s="1"/>
      <c r="I101" s="1"/>
      <c r="J101" s="1"/>
      <c r="K101" s="8" t="str">
        <f>IFERROR(HYPERLINK(VLOOKUP(D101,データ!$B:$C,2,FALSE),D101),"※no-data")</f>
        <v>※no-data</v>
      </c>
      <c r="L101" s="8" t="str">
        <f>IFERROR(HYPERLINK(VLOOKUP(E101,データ!$B:$C,2,FALSE),E101),"※no-data")</f>
        <v>だし巻き卵</v>
      </c>
      <c r="M101" s="8" t="str">
        <f>IFERROR(HYPERLINK(VLOOKUP(F101,データ!$B:$C,2,FALSE),F101),"※no-data")</f>
        <v>かぼちゃの鶏ひき肉煮</v>
      </c>
      <c r="N101" s="8" t="str">
        <f>IFERROR(HYPERLINK(VLOOKUP(G101,データ!$B:$C,2,FALSE),G101),"※no-data")</f>
        <v>ベビーリーフサラダ</v>
      </c>
    </row>
    <row r="102" spans="1:14" x14ac:dyDescent="0.15">
      <c r="A102" s="2">
        <v>44117</v>
      </c>
      <c r="B102" s="2" t="str">
        <f t="shared" si="6"/>
        <v>火</v>
      </c>
      <c r="C102" s="2"/>
      <c r="D102" s="1" t="s">
        <v>343</v>
      </c>
      <c r="E102" s="1" t="s">
        <v>341</v>
      </c>
      <c r="F102" s="1" t="s">
        <v>338</v>
      </c>
      <c r="G102" s="1" t="s">
        <v>340</v>
      </c>
      <c r="H102" s="1"/>
      <c r="I102" s="1"/>
      <c r="J102" s="1"/>
      <c r="K102" s="8" t="str">
        <f>IFERROR(HYPERLINK(VLOOKUP(D102,データ!$B:$C,2,FALSE),D102),"※no-data")</f>
        <v>タラのカレーピカタ</v>
      </c>
      <c r="L102" s="8" t="str">
        <f>IFERROR(HYPERLINK(VLOOKUP(E102,データ!$B:$C,2,FALSE),E102),"※no-data")</f>
        <v>無限キャベツ</v>
      </c>
      <c r="M102" s="8" t="str">
        <f>IFERROR(HYPERLINK(VLOOKUP(F102,データ!$B:$C,2,FALSE),F102),"※no-data")</f>
        <v>かぼちゃの鶏ひき肉煮</v>
      </c>
      <c r="N102" s="8" t="str">
        <f>IFERROR(HYPERLINK(VLOOKUP(G102,データ!$B:$C,2,FALSE),G102),"※no-data")</f>
        <v>ベビーリーフサラダ</v>
      </c>
    </row>
    <row r="103" spans="1:14" x14ac:dyDescent="0.15">
      <c r="A103" s="2">
        <v>44118</v>
      </c>
      <c r="B103" s="2" t="str">
        <f t="shared" si="6"/>
        <v>水</v>
      </c>
      <c r="C103" s="2"/>
      <c r="D103" s="1" t="s">
        <v>343</v>
      </c>
      <c r="E103" s="1" t="s">
        <v>336</v>
      </c>
      <c r="F103" s="1" t="s">
        <v>337</v>
      </c>
      <c r="G103" s="1" t="s">
        <v>340</v>
      </c>
      <c r="H103" s="1"/>
      <c r="I103" s="1"/>
      <c r="J103" s="1"/>
      <c r="K103" s="8" t="str">
        <f>IFERROR(HYPERLINK(VLOOKUP(D103,データ!$B:$C,2,FALSE),D103),"※no-data")</f>
        <v>タラのカレーピカタ</v>
      </c>
      <c r="L103" s="8" t="str">
        <f>IFERROR(HYPERLINK(VLOOKUP(E103,データ!$B:$C,2,FALSE),E103),"※no-data")</f>
        <v>だし巻き卵</v>
      </c>
      <c r="M103" s="8" t="str">
        <f>IFERROR(HYPERLINK(VLOOKUP(F103,データ!$B:$C,2,FALSE),F103),"※no-data")</f>
        <v>※no-data</v>
      </c>
      <c r="N103" s="8" t="str">
        <f>IFERROR(HYPERLINK(VLOOKUP(G103,データ!$B:$C,2,FALSE),G103),"※no-data")</f>
        <v>ベビーリーフサラダ</v>
      </c>
    </row>
    <row r="104" spans="1:14" x14ac:dyDescent="0.15">
      <c r="A104" s="2">
        <v>44119</v>
      </c>
      <c r="B104" s="2" t="str">
        <f t="shared" si="6"/>
        <v>木</v>
      </c>
      <c r="C104" s="2"/>
      <c r="D104" s="1" t="s">
        <v>44</v>
      </c>
      <c r="E104" s="1" t="s">
        <v>341</v>
      </c>
      <c r="F104" s="1" t="s">
        <v>92</v>
      </c>
      <c r="G104" s="1" t="s">
        <v>342</v>
      </c>
      <c r="H104" s="1"/>
      <c r="I104" s="1"/>
      <c r="J104" s="1"/>
      <c r="K104" s="8" t="str">
        <f>IFERROR(HYPERLINK(VLOOKUP(D104,データ!$B:$C,2,FALSE),D104),"※no-data")</f>
        <v>ささみ照り焼き</v>
      </c>
      <c r="L104" s="8" t="str">
        <f>IFERROR(HYPERLINK(VLOOKUP(E104,データ!$B:$C,2,FALSE),E104),"※no-data")</f>
        <v>無限キャベツ</v>
      </c>
      <c r="M104" s="8" t="str">
        <f>IFERROR(HYPERLINK(VLOOKUP(F104,データ!$B:$C,2,FALSE),F104),"※no-data")</f>
        <v>ジャガイモベーコン巻き</v>
      </c>
      <c r="N104" s="8" t="str">
        <f>IFERROR(HYPERLINK(VLOOKUP(G104,データ!$B:$C,2,FALSE),G104),"※no-data")</f>
        <v>マカロニサラダ</v>
      </c>
    </row>
    <row r="105" spans="1:14" x14ac:dyDescent="0.15">
      <c r="A105" s="2">
        <v>44120</v>
      </c>
      <c r="B105" s="2" t="str">
        <f t="shared" si="6"/>
        <v>金</v>
      </c>
      <c r="C105" s="2" t="s">
        <v>170</v>
      </c>
      <c r="D105" s="1" t="s">
        <v>44</v>
      </c>
      <c r="E105" s="1" t="s">
        <v>337</v>
      </c>
      <c r="F105" s="1" t="s">
        <v>92</v>
      </c>
      <c r="G105" s="1" t="s">
        <v>342</v>
      </c>
      <c r="H105" s="1"/>
      <c r="I105" s="1"/>
      <c r="J105" s="1"/>
      <c r="K105" s="8" t="str">
        <f>IFERROR(HYPERLINK(VLOOKUP(D105,データ!$B:$C,2,FALSE),D105),"※no-data")</f>
        <v>ささみ照り焼き</v>
      </c>
      <c r="L105" s="8" t="str">
        <f>IFERROR(HYPERLINK(VLOOKUP(E105,データ!$B:$C,2,FALSE),E105),"※no-data")</f>
        <v>※no-data</v>
      </c>
      <c r="M105" s="8" t="str">
        <f>IFERROR(HYPERLINK(VLOOKUP(F105,データ!$B:$C,2,FALSE),F105),"※no-data")</f>
        <v>ジャガイモベーコン巻き</v>
      </c>
      <c r="N105" s="8" t="str">
        <f>IFERROR(HYPERLINK(VLOOKUP(G105,データ!$B:$C,2,FALSE),G105),"※no-data")</f>
        <v>マカロニサラダ</v>
      </c>
    </row>
    <row r="106" spans="1:14" x14ac:dyDescent="0.15">
      <c r="A106" s="2">
        <v>44121</v>
      </c>
      <c r="B106" s="2" t="str">
        <f t="shared" si="6"/>
        <v>土</v>
      </c>
      <c r="C106" s="2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1:14" x14ac:dyDescent="0.15">
      <c r="A107" s="2">
        <v>44122</v>
      </c>
      <c r="B107" s="2" t="str">
        <f t="shared" si="6"/>
        <v>日</v>
      </c>
      <c r="C107" s="2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1:14" x14ac:dyDescent="0.15">
      <c r="A108" s="2">
        <v>44123</v>
      </c>
      <c r="B108" s="2" t="str">
        <f t="shared" si="6"/>
        <v>月</v>
      </c>
      <c r="C108" s="2"/>
      <c r="D108" s="1"/>
      <c r="E108" s="1"/>
      <c r="F108" s="1"/>
      <c r="G108" s="1"/>
      <c r="H108" s="1"/>
      <c r="I108" s="1" t="s">
        <v>356</v>
      </c>
      <c r="J108" s="1"/>
      <c r="K108" s="1"/>
      <c r="L108" s="1"/>
      <c r="M108" s="1"/>
      <c r="N108" s="1"/>
    </row>
    <row r="109" spans="1:14" x14ac:dyDescent="0.15">
      <c r="A109" s="2">
        <v>44124</v>
      </c>
      <c r="B109" s="2" t="str">
        <f t="shared" si="6"/>
        <v>火</v>
      </c>
      <c r="C109" s="2"/>
      <c r="D109" s="1"/>
      <c r="E109" s="1"/>
      <c r="F109" s="1"/>
      <c r="G109" s="1"/>
      <c r="H109" s="1"/>
      <c r="I109" s="1" t="s">
        <v>356</v>
      </c>
      <c r="J109" s="1"/>
      <c r="K109" s="1"/>
      <c r="L109" s="1"/>
      <c r="M109" s="1"/>
      <c r="N109" s="1"/>
    </row>
    <row r="110" spans="1:14" x14ac:dyDescent="0.15">
      <c r="A110" s="2">
        <v>44125</v>
      </c>
      <c r="B110" s="2" t="str">
        <f t="shared" si="6"/>
        <v>水</v>
      </c>
      <c r="C110" s="2"/>
      <c r="D110" s="1"/>
      <c r="E110" s="1"/>
      <c r="F110" s="1"/>
      <c r="G110" s="1"/>
      <c r="H110" s="1"/>
      <c r="I110" s="1" t="s">
        <v>356</v>
      </c>
      <c r="J110" s="1"/>
      <c r="K110" s="1"/>
      <c r="L110" s="1"/>
      <c r="M110" s="1"/>
      <c r="N110" s="1"/>
    </row>
    <row r="111" spans="1:14" x14ac:dyDescent="0.15">
      <c r="A111" s="2">
        <v>44126</v>
      </c>
      <c r="B111" s="2" t="str">
        <f t="shared" si="6"/>
        <v>木</v>
      </c>
      <c r="C111" s="2" t="s">
        <v>357</v>
      </c>
      <c r="D111" s="1"/>
      <c r="E111" s="1"/>
      <c r="F111" s="1"/>
      <c r="G111" s="1"/>
      <c r="H111" s="1"/>
      <c r="I111" s="1" t="s">
        <v>358</v>
      </c>
      <c r="J111" s="1"/>
      <c r="K111" s="1"/>
      <c r="L111" s="1"/>
      <c r="M111" s="1"/>
      <c r="N111" s="1"/>
    </row>
    <row r="112" spans="1:14" x14ac:dyDescent="0.15">
      <c r="A112" s="2">
        <v>44127</v>
      </c>
      <c r="B112" s="2" t="str">
        <f t="shared" si="6"/>
        <v>金</v>
      </c>
      <c r="C112" s="2" t="s">
        <v>170</v>
      </c>
      <c r="D112" s="1"/>
      <c r="E112" s="1"/>
      <c r="F112" s="1"/>
      <c r="G112" s="1"/>
      <c r="H112" s="1"/>
      <c r="I112" s="1" t="s">
        <v>356</v>
      </c>
      <c r="J112" s="1"/>
      <c r="K112" s="1"/>
      <c r="L112" s="1"/>
      <c r="M112" s="1"/>
      <c r="N112" s="1"/>
    </row>
    <row r="113" spans="1:14" x14ac:dyDescent="0.15">
      <c r="A113" s="2">
        <v>44128</v>
      </c>
      <c r="B113" s="2" t="str">
        <f t="shared" si="6"/>
        <v>土</v>
      </c>
      <c r="C113" s="2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1:14" x14ac:dyDescent="0.15">
      <c r="A114" s="2">
        <v>44129</v>
      </c>
      <c r="B114" s="2" t="str">
        <f t="shared" si="6"/>
        <v>日</v>
      </c>
      <c r="C114" s="2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1:14" x14ac:dyDescent="0.15">
      <c r="A115" s="2">
        <v>44130</v>
      </c>
      <c r="B115" s="2" t="str">
        <f t="shared" si="6"/>
        <v>月</v>
      </c>
      <c r="C115" s="2"/>
      <c r="D115" s="1" t="s">
        <v>347</v>
      </c>
      <c r="E115" s="1" t="s">
        <v>348</v>
      </c>
      <c r="F115" s="1" t="s">
        <v>349</v>
      </c>
      <c r="G115" s="1" t="s">
        <v>350</v>
      </c>
      <c r="H115" s="1"/>
      <c r="I115" s="1"/>
      <c r="J115" s="1"/>
      <c r="K115" s="8" t="str">
        <f>IFERROR(HYPERLINK(VLOOKUP(D115,データ!$B:$C,2,FALSE),D115),"※no-data")</f>
        <v>※no-data</v>
      </c>
      <c r="L115" s="8" t="str">
        <f>IFERROR(HYPERLINK(VLOOKUP(E115,データ!$B:$C,2,FALSE),E115),"※no-data")</f>
        <v>ほうれん草卵焼き</v>
      </c>
      <c r="M115" s="8" t="str">
        <f>IFERROR(HYPERLINK(VLOOKUP(F115,データ!$B:$C,2,FALSE),F115),"※no-data")</f>
        <v>※no-data</v>
      </c>
      <c r="N115" s="8" t="str">
        <f>IFERROR(HYPERLINK(VLOOKUP(G115,データ!$B:$C,2,FALSE),G115),"※no-data")</f>
        <v>レタスサラダ</v>
      </c>
    </row>
    <row r="116" spans="1:14" x14ac:dyDescent="0.15">
      <c r="A116" s="2">
        <v>44131</v>
      </c>
      <c r="B116" s="2" t="str">
        <f t="shared" si="6"/>
        <v>火</v>
      </c>
      <c r="C116" s="2"/>
      <c r="D116" s="1" t="s">
        <v>347</v>
      </c>
      <c r="E116" s="1" t="s">
        <v>348</v>
      </c>
      <c r="F116" s="1" t="s">
        <v>238</v>
      </c>
      <c r="G116" s="1" t="s">
        <v>355</v>
      </c>
      <c r="H116" s="1"/>
      <c r="I116" s="1"/>
      <c r="J116" s="1"/>
      <c r="K116" s="8" t="str">
        <f>IFERROR(HYPERLINK(VLOOKUP(D116,データ!$B:$C,2,FALSE),D116),"※no-data")</f>
        <v>※no-data</v>
      </c>
      <c r="L116" s="8" t="str">
        <f>IFERROR(HYPERLINK(VLOOKUP(E116,データ!$B:$C,2,FALSE),E116),"※no-data")</f>
        <v>ほうれん草卵焼き</v>
      </c>
      <c r="M116" s="8" t="str">
        <f>IFERROR(HYPERLINK(VLOOKUP(F116,データ!$B:$C,2,FALSE),F116),"※no-data")</f>
        <v>なすとピーマンの炒め物</v>
      </c>
      <c r="N116" s="8" t="str">
        <f>IFERROR(HYPERLINK(VLOOKUP(G116,データ!$B:$C,2,FALSE),G116),"※no-data")</f>
        <v>きゅうりとツナのサラダ</v>
      </c>
    </row>
    <row r="117" spans="1:14" x14ac:dyDescent="0.15">
      <c r="A117" s="2">
        <v>44132</v>
      </c>
      <c r="B117" s="2" t="str">
        <f t="shared" si="6"/>
        <v>水</v>
      </c>
      <c r="C117" s="2" t="s">
        <v>359</v>
      </c>
      <c r="D117" s="1" t="s">
        <v>351</v>
      </c>
      <c r="E117" s="1" t="s">
        <v>320</v>
      </c>
      <c r="F117" s="1" t="s">
        <v>238</v>
      </c>
      <c r="G117" s="1" t="s">
        <v>355</v>
      </c>
      <c r="H117" s="1"/>
      <c r="I117" s="1"/>
      <c r="J117" s="1"/>
      <c r="K117" s="8" t="str">
        <f>IFERROR(HYPERLINK(VLOOKUP(D117,データ!$B:$C,2,FALSE),D117),"※no-data")</f>
        <v>牛肉と新玉ねぎのさっぱりごまポン炒め</v>
      </c>
      <c r="L117" s="8" t="str">
        <f>IFERROR(HYPERLINK(VLOOKUP(E117,データ!$B:$C,2,FALSE),E117),"※no-data")</f>
        <v>玉ねぎの卵炒め</v>
      </c>
      <c r="M117" s="8" t="str">
        <f>IFERROR(HYPERLINK(VLOOKUP(F117,データ!$B:$C,2,FALSE),F117),"※no-data")</f>
        <v>なすとピーマンの炒め物</v>
      </c>
      <c r="N117" s="8" t="str">
        <f>IFERROR(HYPERLINK(VLOOKUP(G117,データ!$B:$C,2,FALSE),G117),"※no-data")</f>
        <v>きゅうりとツナのサラダ</v>
      </c>
    </row>
    <row r="118" spans="1:14" x14ac:dyDescent="0.15">
      <c r="A118" s="2">
        <v>44133</v>
      </c>
      <c r="B118" s="2" t="str">
        <f t="shared" si="6"/>
        <v>木</v>
      </c>
      <c r="C118" s="2"/>
      <c r="D118" s="1" t="s">
        <v>351</v>
      </c>
      <c r="E118" s="1" t="s">
        <v>320</v>
      </c>
      <c r="F118" s="1" t="s">
        <v>238</v>
      </c>
      <c r="G118" s="1" t="s">
        <v>354</v>
      </c>
      <c r="H118" s="1"/>
      <c r="I118" s="1"/>
      <c r="J118" s="1"/>
      <c r="K118" s="8" t="str">
        <f>IFERROR(HYPERLINK(VLOOKUP(D118,データ!$B:$C,2,FALSE),D118),"※no-data")</f>
        <v>牛肉と新玉ねぎのさっぱりごまポン炒め</v>
      </c>
      <c r="L118" s="8" t="str">
        <f>IFERROR(HYPERLINK(VLOOKUP(E118,データ!$B:$C,2,FALSE),E118),"※no-data")</f>
        <v>玉ねぎの卵炒め</v>
      </c>
      <c r="M118" s="8" t="str">
        <f>IFERROR(HYPERLINK(VLOOKUP(F118,データ!$B:$C,2,FALSE),F118),"※no-data")</f>
        <v>なすとピーマンの炒め物</v>
      </c>
      <c r="N118" s="8" t="str">
        <f>IFERROR(HYPERLINK(VLOOKUP(G118,データ!$B:$C,2,FALSE),G118),"※no-data")</f>
        <v>じゃこサラダ</v>
      </c>
    </row>
    <row r="119" spans="1:14" x14ac:dyDescent="0.15">
      <c r="A119" s="2">
        <v>44134</v>
      </c>
      <c r="B119" s="2" t="str">
        <f t="shared" si="6"/>
        <v>金</v>
      </c>
      <c r="C119" s="2" t="s">
        <v>170</v>
      </c>
      <c r="D119" s="1" t="s">
        <v>351</v>
      </c>
      <c r="E119" s="1" t="s">
        <v>320</v>
      </c>
      <c r="F119" s="1" t="s">
        <v>165</v>
      </c>
      <c r="G119" s="1" t="s">
        <v>354</v>
      </c>
      <c r="H119" s="1"/>
      <c r="I119" s="1"/>
      <c r="J119" s="1"/>
      <c r="K119" s="8" t="str">
        <f>IFERROR(HYPERLINK(VLOOKUP(D119,データ!$B:$C,2,FALSE),D119),"※no-data")</f>
        <v>牛肉と新玉ねぎのさっぱりごまポン炒め</v>
      </c>
      <c r="L119" s="8" t="str">
        <f>IFERROR(HYPERLINK(VLOOKUP(E119,データ!$B:$C,2,FALSE),E119),"※no-data")</f>
        <v>玉ねぎの卵炒め</v>
      </c>
      <c r="M119" s="8" t="str">
        <f>IFERROR(HYPERLINK(VLOOKUP(F119,データ!$B:$C,2,FALSE),F119),"※no-data")</f>
        <v>ナス照り焼き</v>
      </c>
      <c r="N119" s="8" t="str">
        <f>IFERROR(HYPERLINK(VLOOKUP(G119,データ!$B:$C,2,FALSE),G119),"※no-data")</f>
        <v>じゃこサラダ</v>
      </c>
    </row>
    <row r="120" spans="1:14" x14ac:dyDescent="0.15">
      <c r="A120" s="2">
        <v>44135</v>
      </c>
      <c r="B120" s="2" t="str">
        <f t="shared" si="6"/>
        <v>土</v>
      </c>
      <c r="C120" s="2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1:14" x14ac:dyDescent="0.15">
      <c r="A121" s="2">
        <v>44136</v>
      </c>
      <c r="B121" s="2" t="str">
        <f t="shared" ref="B121:B171" si="7">TEXT(A121,"aaa")</f>
        <v>日</v>
      </c>
      <c r="C121" s="2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1:14" x14ac:dyDescent="0.15">
      <c r="A122" s="2">
        <v>44137</v>
      </c>
      <c r="B122" s="2" t="str">
        <f t="shared" si="7"/>
        <v>月</v>
      </c>
      <c r="C122" s="2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1:14" x14ac:dyDescent="0.15">
      <c r="A123" s="2">
        <v>44138</v>
      </c>
      <c r="B123" s="2" t="str">
        <f t="shared" si="7"/>
        <v>火</v>
      </c>
      <c r="C123" s="2" t="s">
        <v>357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1:14" x14ac:dyDescent="0.15">
      <c r="A124" s="2">
        <v>44139</v>
      </c>
      <c r="B124" s="2" t="str">
        <f t="shared" si="7"/>
        <v>水</v>
      </c>
      <c r="C124" s="2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1:14" x14ac:dyDescent="0.15">
      <c r="A125" s="2">
        <v>44140</v>
      </c>
      <c r="B125" s="2" t="str">
        <f t="shared" si="7"/>
        <v>木</v>
      </c>
      <c r="C125" s="2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1:14" x14ac:dyDescent="0.15">
      <c r="A126" s="2">
        <v>44141</v>
      </c>
      <c r="B126" s="2" t="str">
        <f t="shared" si="7"/>
        <v>金</v>
      </c>
      <c r="C126" s="2" t="s">
        <v>170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1:14" x14ac:dyDescent="0.15">
      <c r="A127" s="2">
        <v>44142</v>
      </c>
      <c r="B127" s="2" t="str">
        <f t="shared" si="7"/>
        <v>土</v>
      </c>
      <c r="C127" s="2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1:14" x14ac:dyDescent="0.15">
      <c r="A128" s="2">
        <v>44143</v>
      </c>
      <c r="B128" s="2" t="str">
        <f t="shared" si="7"/>
        <v>日</v>
      </c>
      <c r="C128" s="2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</row>
    <row r="129" spans="1:14" x14ac:dyDescent="0.15">
      <c r="A129" s="2">
        <v>44144</v>
      </c>
      <c r="B129" s="2" t="str">
        <f t="shared" si="7"/>
        <v>月</v>
      </c>
      <c r="C129" s="2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</row>
    <row r="130" spans="1:14" x14ac:dyDescent="0.15">
      <c r="A130" s="2">
        <v>44145</v>
      </c>
      <c r="B130" s="2" t="str">
        <f t="shared" si="7"/>
        <v>火</v>
      </c>
      <c r="C130" s="2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</row>
    <row r="131" spans="1:14" x14ac:dyDescent="0.15">
      <c r="A131" s="2">
        <v>44146</v>
      </c>
      <c r="B131" s="2" t="str">
        <f t="shared" si="7"/>
        <v>水</v>
      </c>
      <c r="C131" s="2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</row>
    <row r="132" spans="1:14" x14ac:dyDescent="0.15">
      <c r="A132" s="2">
        <v>44147</v>
      </c>
      <c r="B132" s="2" t="str">
        <f t="shared" si="7"/>
        <v>木</v>
      </c>
      <c r="C132" s="2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</row>
    <row r="133" spans="1:14" x14ac:dyDescent="0.15">
      <c r="A133" s="2">
        <v>44148</v>
      </c>
      <c r="B133" s="2" t="str">
        <f t="shared" si="7"/>
        <v>金</v>
      </c>
      <c r="C133" s="2" t="s">
        <v>170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x14ac:dyDescent="0.15">
      <c r="A134" s="2">
        <v>44149</v>
      </c>
      <c r="B134" s="2" t="str">
        <f t="shared" si="7"/>
        <v>土</v>
      </c>
      <c r="C134" s="2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1:14" x14ac:dyDescent="0.15">
      <c r="A135" s="2">
        <v>44150</v>
      </c>
      <c r="B135" s="2" t="str">
        <f t="shared" si="7"/>
        <v>日</v>
      </c>
      <c r="C135" s="2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</row>
    <row r="136" spans="1:14" x14ac:dyDescent="0.15">
      <c r="A136" s="2">
        <v>44151</v>
      </c>
      <c r="B136" s="2" t="str">
        <f t="shared" si="7"/>
        <v>月</v>
      </c>
      <c r="C136" s="2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</row>
    <row r="137" spans="1:14" x14ac:dyDescent="0.15">
      <c r="A137" s="2">
        <v>44152</v>
      </c>
      <c r="B137" s="2" t="str">
        <f t="shared" si="7"/>
        <v>火</v>
      </c>
      <c r="C137" s="2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</row>
    <row r="138" spans="1:14" x14ac:dyDescent="0.15">
      <c r="A138" s="2">
        <v>44153</v>
      </c>
      <c r="B138" s="2" t="str">
        <f t="shared" si="7"/>
        <v>水</v>
      </c>
      <c r="C138" s="2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</row>
    <row r="139" spans="1:14" x14ac:dyDescent="0.15">
      <c r="A139" s="2">
        <v>44154</v>
      </c>
      <c r="B139" s="2" t="str">
        <f t="shared" si="7"/>
        <v>木</v>
      </c>
      <c r="C139" s="2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</row>
    <row r="140" spans="1:14" x14ac:dyDescent="0.15">
      <c r="A140" s="2">
        <v>44155</v>
      </c>
      <c r="B140" s="2" t="str">
        <f t="shared" si="7"/>
        <v>金</v>
      </c>
      <c r="C140" s="2" t="s">
        <v>170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</row>
    <row r="141" spans="1:14" x14ac:dyDescent="0.15">
      <c r="A141" s="2">
        <v>44156</v>
      </c>
      <c r="B141" s="2" t="str">
        <f t="shared" si="7"/>
        <v>土</v>
      </c>
      <c r="C141" s="2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</row>
    <row r="142" spans="1:14" x14ac:dyDescent="0.15">
      <c r="A142" s="2">
        <v>44157</v>
      </c>
      <c r="B142" s="2" t="str">
        <f t="shared" si="7"/>
        <v>日</v>
      </c>
      <c r="C142" s="2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</row>
    <row r="143" spans="1:14" x14ac:dyDescent="0.15">
      <c r="A143" s="2">
        <v>44158</v>
      </c>
      <c r="B143" s="2" t="str">
        <f t="shared" si="7"/>
        <v>月</v>
      </c>
      <c r="C143" s="2" t="s">
        <v>307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</row>
    <row r="144" spans="1:14" x14ac:dyDescent="0.15">
      <c r="A144" s="2">
        <v>44159</v>
      </c>
      <c r="B144" s="2" t="str">
        <f t="shared" si="7"/>
        <v>火</v>
      </c>
      <c r="C144" s="2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</row>
    <row r="145" spans="1:14" x14ac:dyDescent="0.15">
      <c r="A145" s="2">
        <v>44160</v>
      </c>
      <c r="B145" s="2" t="str">
        <f t="shared" si="7"/>
        <v>水</v>
      </c>
      <c r="C145" s="2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</row>
    <row r="146" spans="1:14" x14ac:dyDescent="0.15">
      <c r="A146" s="2">
        <v>44161</v>
      </c>
      <c r="B146" s="2" t="str">
        <f t="shared" si="7"/>
        <v>木</v>
      </c>
      <c r="C146" s="2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</row>
    <row r="147" spans="1:14" x14ac:dyDescent="0.15">
      <c r="A147" s="2">
        <v>44162</v>
      </c>
      <c r="B147" s="2" t="str">
        <f t="shared" si="7"/>
        <v>金</v>
      </c>
      <c r="C147" s="2" t="s">
        <v>170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</row>
    <row r="148" spans="1:14" x14ac:dyDescent="0.15">
      <c r="A148" s="2">
        <v>44163</v>
      </c>
      <c r="B148" s="2" t="str">
        <f t="shared" si="7"/>
        <v>土</v>
      </c>
      <c r="C148" s="2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</row>
    <row r="149" spans="1:14" x14ac:dyDescent="0.15">
      <c r="A149" s="2">
        <v>44164</v>
      </c>
      <c r="B149" s="2" t="str">
        <f t="shared" si="7"/>
        <v>日</v>
      </c>
      <c r="C149" s="2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1:14" x14ac:dyDescent="0.15">
      <c r="A150" s="2">
        <v>44165</v>
      </c>
      <c r="B150" s="2" t="str">
        <f t="shared" si="7"/>
        <v>月</v>
      </c>
      <c r="C150" s="2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</row>
    <row r="151" spans="1:14" x14ac:dyDescent="0.15">
      <c r="A151" s="2">
        <v>44166</v>
      </c>
      <c r="B151" s="2" t="str">
        <f t="shared" si="7"/>
        <v>火</v>
      </c>
      <c r="C151" s="2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</row>
    <row r="152" spans="1:14" x14ac:dyDescent="0.15">
      <c r="A152" s="2">
        <v>44167</v>
      </c>
      <c r="B152" s="2" t="str">
        <f t="shared" si="7"/>
        <v>水</v>
      </c>
      <c r="C152" s="2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</row>
    <row r="153" spans="1:14" x14ac:dyDescent="0.15">
      <c r="A153" s="2">
        <v>44168</v>
      </c>
      <c r="B153" s="2" t="str">
        <f t="shared" si="7"/>
        <v>木</v>
      </c>
      <c r="C153" s="2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</row>
    <row r="154" spans="1:14" x14ac:dyDescent="0.15">
      <c r="A154" s="2">
        <v>44169</v>
      </c>
      <c r="B154" s="2" t="str">
        <f t="shared" si="7"/>
        <v>金</v>
      </c>
      <c r="C154" s="2" t="s">
        <v>170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</row>
    <row r="155" spans="1:14" x14ac:dyDescent="0.15">
      <c r="A155" s="2">
        <v>44170</v>
      </c>
      <c r="B155" s="2" t="str">
        <f t="shared" si="7"/>
        <v>土</v>
      </c>
      <c r="C155" s="2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</row>
    <row r="156" spans="1:14" x14ac:dyDescent="0.15">
      <c r="A156" s="2">
        <v>44171</v>
      </c>
      <c r="B156" s="2" t="str">
        <f t="shared" si="7"/>
        <v>日</v>
      </c>
      <c r="C156" s="2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</row>
    <row r="157" spans="1:14" x14ac:dyDescent="0.15">
      <c r="A157" s="2">
        <v>44172</v>
      </c>
      <c r="B157" s="2" t="str">
        <f t="shared" si="7"/>
        <v>月</v>
      </c>
      <c r="C157" s="2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</row>
    <row r="158" spans="1:14" x14ac:dyDescent="0.15">
      <c r="A158" s="2">
        <v>44173</v>
      </c>
      <c r="B158" s="2" t="str">
        <f t="shared" si="7"/>
        <v>火</v>
      </c>
      <c r="C158" s="2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</row>
    <row r="159" spans="1:14" x14ac:dyDescent="0.15">
      <c r="A159" s="2">
        <v>44174</v>
      </c>
      <c r="B159" s="2" t="str">
        <f t="shared" si="7"/>
        <v>水</v>
      </c>
      <c r="C159" s="2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</row>
    <row r="160" spans="1:14" x14ac:dyDescent="0.15">
      <c r="A160" s="2">
        <v>44175</v>
      </c>
      <c r="B160" s="2" t="str">
        <f t="shared" si="7"/>
        <v>木</v>
      </c>
      <c r="C160" s="2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</row>
    <row r="161" spans="1:14" x14ac:dyDescent="0.15">
      <c r="A161" s="2">
        <v>44176</v>
      </c>
      <c r="B161" s="2" t="str">
        <f t="shared" si="7"/>
        <v>金</v>
      </c>
      <c r="C161" s="2" t="s">
        <v>170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1:14" x14ac:dyDescent="0.15">
      <c r="A162" s="2">
        <v>44177</v>
      </c>
      <c r="B162" s="2" t="str">
        <f t="shared" si="7"/>
        <v>土</v>
      </c>
      <c r="C162" s="2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</row>
    <row r="163" spans="1:14" x14ac:dyDescent="0.15">
      <c r="A163" s="2">
        <v>44178</v>
      </c>
      <c r="B163" s="2" t="str">
        <f t="shared" si="7"/>
        <v>日</v>
      </c>
      <c r="C163" s="2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1:14" x14ac:dyDescent="0.15">
      <c r="A164" s="2">
        <v>44179</v>
      </c>
      <c r="B164" s="2" t="str">
        <f t="shared" si="7"/>
        <v>月</v>
      </c>
      <c r="C164" s="2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</row>
    <row r="165" spans="1:14" x14ac:dyDescent="0.15">
      <c r="A165" s="2">
        <v>44180</v>
      </c>
      <c r="B165" s="2" t="str">
        <f t="shared" si="7"/>
        <v>火</v>
      </c>
      <c r="C165" s="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15">
      <c r="A166" s="2">
        <v>44181</v>
      </c>
      <c r="B166" s="2" t="str">
        <f t="shared" si="7"/>
        <v>水</v>
      </c>
      <c r="C166" s="2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  <row r="167" spans="1:14" x14ac:dyDescent="0.15">
      <c r="A167" s="2">
        <v>44182</v>
      </c>
      <c r="B167" s="2" t="str">
        <f t="shared" si="7"/>
        <v>木</v>
      </c>
      <c r="C167" s="2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15">
      <c r="A168" s="2">
        <v>44183</v>
      </c>
      <c r="B168" s="2" t="str">
        <f t="shared" si="7"/>
        <v>金</v>
      </c>
      <c r="C168" s="2" t="s">
        <v>170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</row>
    <row r="169" spans="1:14" x14ac:dyDescent="0.15">
      <c r="A169" s="2">
        <v>44184</v>
      </c>
      <c r="B169" s="2" t="str">
        <f t="shared" si="7"/>
        <v>土</v>
      </c>
      <c r="C169" s="2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15">
      <c r="A170" s="2">
        <v>44185</v>
      </c>
      <c r="B170" s="2" t="str">
        <f t="shared" si="7"/>
        <v>日</v>
      </c>
      <c r="C170" s="2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</row>
    <row r="171" spans="1:14" x14ac:dyDescent="0.15">
      <c r="A171" s="2">
        <v>44186</v>
      </c>
      <c r="B171" s="2" t="str">
        <f t="shared" si="7"/>
        <v>月</v>
      </c>
      <c r="C171" s="2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15">
      <c r="A172" s="2">
        <v>44187</v>
      </c>
      <c r="B172" s="2" t="str">
        <f t="shared" ref="B172:B180" si="8">TEXT(A172,"aaa")</f>
        <v>火</v>
      </c>
      <c r="C172" s="2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</row>
    <row r="173" spans="1:14" x14ac:dyDescent="0.15">
      <c r="A173" s="2">
        <v>44188</v>
      </c>
      <c r="B173" s="2" t="str">
        <f t="shared" si="8"/>
        <v>水</v>
      </c>
      <c r="C173" s="2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15">
      <c r="A174" s="2">
        <v>44189</v>
      </c>
      <c r="B174" s="2" t="str">
        <f t="shared" si="8"/>
        <v>木</v>
      </c>
      <c r="C174" s="2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</row>
    <row r="175" spans="1:14" x14ac:dyDescent="0.15">
      <c r="A175" s="2">
        <v>44190</v>
      </c>
      <c r="B175" s="2" t="str">
        <f t="shared" si="8"/>
        <v>金</v>
      </c>
      <c r="C175" s="2" t="s">
        <v>170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15">
      <c r="A176" s="2">
        <v>44191</v>
      </c>
      <c r="B176" s="2" t="str">
        <f t="shared" si="8"/>
        <v>土</v>
      </c>
      <c r="C176" s="2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</row>
    <row r="177" spans="1:14" x14ac:dyDescent="0.15">
      <c r="A177" s="2">
        <v>44192</v>
      </c>
      <c r="B177" s="2" t="str">
        <f t="shared" si="8"/>
        <v>日</v>
      </c>
      <c r="C177" s="2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15">
      <c r="A178" s="2">
        <v>44193</v>
      </c>
      <c r="B178" s="2" t="str">
        <f t="shared" si="8"/>
        <v>月</v>
      </c>
      <c r="C178" s="2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</row>
    <row r="179" spans="1:14" x14ac:dyDescent="0.15">
      <c r="A179" s="2">
        <v>44194</v>
      </c>
      <c r="B179" s="2" t="str">
        <f t="shared" si="8"/>
        <v>火</v>
      </c>
      <c r="C179" s="2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15">
      <c r="A180" s="2">
        <v>44195</v>
      </c>
      <c r="B180" s="2" t="str">
        <f t="shared" si="8"/>
        <v>水</v>
      </c>
      <c r="C180" s="2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</row>
    <row r="181" spans="1:14" x14ac:dyDescent="0.15">
      <c r="A181" s="2">
        <v>44196</v>
      </c>
      <c r="B181" s="2" t="str">
        <f t="shared" ref="B181" si="9">TEXT(A181,"aaa")</f>
        <v>木</v>
      </c>
      <c r="C181" s="2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</sheetData>
  <phoneticPr fontId="1"/>
  <conditionalFormatting sqref="A3:N65 A66:E66 A67:D67 A68:E70 G66:J70 A71:N72 A73:J77 A78:N86 A88:F89 H88:J89 A92:N92 A90:J91 A87:J87 A182:N1048576 B93:N93 A93:A181">
    <cfRule type="expression" dxfId="57" priority="57">
      <formula>$C3="natsu"</formula>
    </cfRule>
    <cfRule type="expression" dxfId="56" priority="77">
      <formula>OR(AND(OR($B3="土",$B3="日"),$C3=""),AND(AND($B3&lt;&gt;"土",$B3&lt;&gt;"日"),$C3&lt;&gt;""))</formula>
    </cfRule>
  </conditionalFormatting>
  <conditionalFormatting sqref="F66:F67">
    <cfRule type="expression" dxfId="55" priority="55">
      <formula>$C66="natsu"</formula>
    </cfRule>
    <cfRule type="expression" dxfId="54" priority="56">
      <formula>OR(AND(OR($B66="土",$B66="日"),$C66=""),AND(AND($B66&lt;&gt;"土",$B66&lt;&gt;"日"),$C66&lt;&gt;""))</formula>
    </cfRule>
  </conditionalFormatting>
  <conditionalFormatting sqref="K66:N70">
    <cfRule type="expression" dxfId="53" priority="53">
      <formula>$C66="natsu"</formula>
    </cfRule>
    <cfRule type="expression" dxfId="52" priority="54">
      <formula>OR(AND(OR($B66="土",$B66="日"),$C66=""),AND(AND($B66&lt;&gt;"土",$B66&lt;&gt;"日"),$C66&lt;&gt;""))</formula>
    </cfRule>
  </conditionalFormatting>
  <conditionalFormatting sqref="E67">
    <cfRule type="expression" dxfId="51" priority="51">
      <formula>$C67="natsu"</formula>
    </cfRule>
    <cfRule type="expression" dxfId="50" priority="52">
      <formula>OR(AND(OR($B67="土",$B67="日"),$C67=""),AND(AND($B67&lt;&gt;"土",$B67&lt;&gt;"日"),$C67&lt;&gt;""))</formula>
    </cfRule>
  </conditionalFormatting>
  <conditionalFormatting sqref="F69">
    <cfRule type="expression" dxfId="49" priority="49">
      <formula>$C69="natsu"</formula>
    </cfRule>
    <cfRule type="expression" dxfId="48" priority="50">
      <formula>OR(AND(OR($B69="土",$B69="日"),$C69=""),AND(AND($B69&lt;&gt;"土",$B69&lt;&gt;"日"),$C69&lt;&gt;""))</formula>
    </cfRule>
  </conditionalFormatting>
  <conditionalFormatting sqref="F70">
    <cfRule type="expression" dxfId="47" priority="47">
      <formula>$C70="natsu"</formula>
    </cfRule>
    <cfRule type="expression" dxfId="46" priority="48">
      <formula>OR(AND(OR($B70="土",$B70="日"),$C70=""),AND(AND($B70&lt;&gt;"土",$B70&lt;&gt;"日"),$C70&lt;&gt;""))</formula>
    </cfRule>
  </conditionalFormatting>
  <conditionalFormatting sqref="K73:N77">
    <cfRule type="expression" dxfId="45" priority="45">
      <formula>$C73="natsu"</formula>
    </cfRule>
    <cfRule type="expression" dxfId="44" priority="46">
      <formula>OR(AND(OR($B73="土",$B73="日"),$C73=""),AND(AND($B73&lt;&gt;"土",$B73&lt;&gt;"日"),$C73&lt;&gt;""))</formula>
    </cfRule>
  </conditionalFormatting>
  <conditionalFormatting sqref="G89">
    <cfRule type="expression" dxfId="43" priority="80">
      <formula>$C88="natsu"</formula>
    </cfRule>
    <cfRule type="expression" dxfId="42" priority="81">
      <formula>OR(AND(OR($B88="土",$B88="日"),$C88=""),AND(AND($B88&lt;&gt;"土",$B88&lt;&gt;"日"),$C88&lt;&gt;""))</formula>
    </cfRule>
  </conditionalFormatting>
  <conditionalFormatting sqref="K87:N91">
    <cfRule type="expression" dxfId="41" priority="41">
      <formula>$C87="natsu"</formula>
    </cfRule>
    <cfRule type="expression" dxfId="40" priority="42">
      <formula>OR(AND(OR($B87="土",$B87="日"),$C87=""),AND(AND($B87&lt;&gt;"土",$B87&lt;&gt;"日"),$C87&lt;&gt;""))</formula>
    </cfRule>
  </conditionalFormatting>
  <conditionalFormatting sqref="G88">
    <cfRule type="expression" dxfId="39" priority="39">
      <formula>$C88="natsu"</formula>
    </cfRule>
    <cfRule type="expression" dxfId="38" priority="40">
      <formula>OR(AND(OR($B88="土",$B88="日"),$C88=""),AND(AND($B88&lt;&gt;"土",$B88&lt;&gt;"日"),$C88&lt;&gt;""))</formula>
    </cfRule>
  </conditionalFormatting>
  <conditionalFormatting sqref="B98 D98:J98 B105 B113:N114 B112 D112:H112 B119 B94:J97 B99:N100 B101:J104 D105:J105 B106:N108 B115:C118 H115:J119 B109:H111 J109:N112 B120:N125 B127:N132 B126 D126:N126 B134:N139 B133 D133:N133 B141:N146 B140 D140:N140 B148:N153 B147 D147:N147 B155:N160 B154 D154:N154 B162:N167 B161 D161:N161 B169:N174 B168 D168:N168 B176:N181 B175 D175:N175">
    <cfRule type="expression" dxfId="37" priority="37">
      <formula>$C94="natsu"</formula>
    </cfRule>
    <cfRule type="expression" dxfId="36" priority="38">
      <formula>OR(AND(OR($B94="土",$B94="日"),$C94=""),AND(AND($B94&lt;&gt;"土",$B94&lt;&gt;"日"),$C94&lt;&gt;""))</formula>
    </cfRule>
  </conditionalFormatting>
  <conditionalFormatting sqref="C98">
    <cfRule type="expression" dxfId="35" priority="35">
      <formula>$C98="natsu"</formula>
    </cfRule>
    <cfRule type="expression" dxfId="34" priority="36">
      <formula>OR(AND(OR($B98="土",$B98="日"),$C98=""),AND(AND($B98&lt;&gt;"土",$B98&lt;&gt;"日"),$C98&lt;&gt;""))</formula>
    </cfRule>
  </conditionalFormatting>
  <conditionalFormatting sqref="C105">
    <cfRule type="expression" dxfId="33" priority="33">
      <formula>$C105="natsu"</formula>
    </cfRule>
    <cfRule type="expression" dxfId="32" priority="34">
      <formula>OR(AND(OR($B105="土",$B105="日"),$C105=""),AND(AND($B105&lt;&gt;"土",$B105&lt;&gt;"日"),$C105&lt;&gt;""))</formula>
    </cfRule>
  </conditionalFormatting>
  <conditionalFormatting sqref="C112">
    <cfRule type="expression" dxfId="31" priority="31">
      <formula>$C112="natsu"</formula>
    </cfRule>
    <cfRule type="expression" dxfId="30" priority="32">
      <formula>OR(AND(OR($B112="土",$B112="日"),$C112=""),AND(AND($B112&lt;&gt;"土",$B112&lt;&gt;"日"),$C112&lt;&gt;""))</formula>
    </cfRule>
  </conditionalFormatting>
  <conditionalFormatting sqref="C119">
    <cfRule type="expression" dxfId="29" priority="29">
      <formula>$C119="natsu"</formula>
    </cfRule>
    <cfRule type="expression" dxfId="28" priority="30">
      <formula>OR(AND(OR($B119="土",$B119="日"),$C119=""),AND(AND($B119&lt;&gt;"土",$B119&lt;&gt;"日"),$C119&lt;&gt;""))</formula>
    </cfRule>
  </conditionalFormatting>
  <conditionalFormatting sqref="K94:N98">
    <cfRule type="expression" dxfId="27" priority="27">
      <formula>$C94="natsu"</formula>
    </cfRule>
    <cfRule type="expression" dxfId="26" priority="28">
      <formula>OR(AND(OR($B94="土",$B94="日"),$C94=""),AND(AND($B94&lt;&gt;"土",$B94&lt;&gt;"日"),$C94&lt;&gt;""))</formula>
    </cfRule>
  </conditionalFormatting>
  <conditionalFormatting sqref="K101:N105">
    <cfRule type="expression" dxfId="25" priority="25">
      <formula>$C101="natsu"</formula>
    </cfRule>
    <cfRule type="expression" dxfId="24" priority="26">
      <formula>OR(AND(OR($B101="土",$B101="日"),$C101=""),AND(AND($B101&lt;&gt;"土",$B101&lt;&gt;"日"),$C101&lt;&gt;""))</formula>
    </cfRule>
  </conditionalFormatting>
  <conditionalFormatting sqref="D115:G119">
    <cfRule type="expression" dxfId="23" priority="23">
      <formula>$C115="natsu"</formula>
    </cfRule>
    <cfRule type="expression" dxfId="22" priority="24">
      <formula>OR(AND(OR($B115="土",$B115="日"),$C115=""),AND(AND($B115&lt;&gt;"土",$B115&lt;&gt;"日"),$C115&lt;&gt;""))</formula>
    </cfRule>
  </conditionalFormatting>
  <conditionalFormatting sqref="I109:I112">
    <cfRule type="expression" dxfId="21" priority="19">
      <formula>$C109="natsu"</formula>
    </cfRule>
    <cfRule type="expression" dxfId="20" priority="20">
      <formula>OR(AND(OR($B109="土",$B109="日"),$C109=""),AND(AND($B109&lt;&gt;"土",$B109&lt;&gt;"日"),$C109&lt;&gt;""))</formula>
    </cfRule>
  </conditionalFormatting>
  <conditionalFormatting sqref="C126">
    <cfRule type="expression" dxfId="19" priority="17">
      <formula>$C126="natsu"</formula>
    </cfRule>
    <cfRule type="expression" dxfId="18" priority="18">
      <formula>OR(AND(OR($B126="土",$B126="日"),$C126=""),AND(AND($B126&lt;&gt;"土",$B126&lt;&gt;"日"),$C126&lt;&gt;""))</formula>
    </cfRule>
  </conditionalFormatting>
  <conditionalFormatting sqref="C133">
    <cfRule type="expression" dxfId="17" priority="15">
      <formula>$C133="natsu"</formula>
    </cfRule>
    <cfRule type="expression" dxfId="16" priority="16">
      <formula>OR(AND(OR($B133="土",$B133="日"),$C133=""),AND(AND($B133&lt;&gt;"土",$B133&lt;&gt;"日"),$C133&lt;&gt;""))</formula>
    </cfRule>
  </conditionalFormatting>
  <conditionalFormatting sqref="C140">
    <cfRule type="expression" dxfId="15" priority="13">
      <formula>$C140="natsu"</formula>
    </cfRule>
    <cfRule type="expression" dxfId="14" priority="14">
      <formula>OR(AND(OR($B140="土",$B140="日"),$C140=""),AND(AND($B140&lt;&gt;"土",$B140&lt;&gt;"日"),$C140&lt;&gt;""))</formula>
    </cfRule>
  </conditionalFormatting>
  <conditionalFormatting sqref="C147">
    <cfRule type="expression" dxfId="13" priority="11">
      <formula>$C147="natsu"</formula>
    </cfRule>
    <cfRule type="expression" dxfId="12" priority="12">
      <formula>OR(AND(OR($B147="土",$B147="日"),$C147=""),AND(AND($B147&lt;&gt;"土",$B147&lt;&gt;"日"),$C147&lt;&gt;""))</formula>
    </cfRule>
  </conditionalFormatting>
  <conditionalFormatting sqref="C154">
    <cfRule type="expression" dxfId="11" priority="9">
      <formula>$C154="natsu"</formula>
    </cfRule>
    <cfRule type="expression" dxfId="10" priority="10">
      <formula>OR(AND(OR($B154="土",$B154="日"),$C154=""),AND(AND($B154&lt;&gt;"土",$B154&lt;&gt;"日"),$C154&lt;&gt;""))</formula>
    </cfRule>
  </conditionalFormatting>
  <conditionalFormatting sqref="C161">
    <cfRule type="expression" dxfId="9" priority="7">
      <formula>$C161="natsu"</formula>
    </cfRule>
    <cfRule type="expression" dxfId="8" priority="8">
      <formula>OR(AND(OR($B161="土",$B161="日"),$C161=""),AND(AND($B161&lt;&gt;"土",$B161&lt;&gt;"日"),$C161&lt;&gt;""))</formula>
    </cfRule>
  </conditionalFormatting>
  <conditionalFormatting sqref="C168">
    <cfRule type="expression" dxfId="7" priority="5">
      <formula>$C168="natsu"</formula>
    </cfRule>
    <cfRule type="expression" dxfId="6" priority="6">
      <formula>OR(AND(OR($B168="土",$B168="日"),$C168=""),AND(AND($B168&lt;&gt;"土",$B168&lt;&gt;"日"),$C168&lt;&gt;""))</formula>
    </cfRule>
  </conditionalFormatting>
  <conditionalFormatting sqref="C175">
    <cfRule type="expression" dxfId="5" priority="3">
      <formula>$C175="natsu"</formula>
    </cfRule>
    <cfRule type="expression" dxfId="4" priority="4">
      <formula>OR(AND(OR($B175="土",$B175="日"),$C175=""),AND(AND($B175&lt;&gt;"土",$B175&lt;&gt;"日"),$C175&lt;&gt;""))</formula>
    </cfRule>
  </conditionalFormatting>
  <conditionalFormatting sqref="K115:N119">
    <cfRule type="expression" dxfId="3" priority="1">
      <formula>$C115="natsu"</formula>
    </cfRule>
    <cfRule type="expression" dxfId="2" priority="2">
      <formula>OR(AND(OR($B115="土",$B115="日"),$C115=""),AND(AND($B115&lt;&gt;"土",$B115&lt;&gt;"日"),$C115&lt;&gt;""))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F12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24" sqref="C124"/>
    </sheetView>
  </sheetViews>
  <sheetFormatPr defaultRowHeight="13.5" x14ac:dyDescent="0.15"/>
  <cols>
    <col min="2" max="2" width="26.375" customWidth="1"/>
    <col min="3" max="3" width="88.25" bestFit="1" customWidth="1"/>
    <col min="5" max="5" width="13.875" style="9" bestFit="1" customWidth="1"/>
  </cols>
  <sheetData>
    <row r="1" spans="1:6" x14ac:dyDescent="0.15">
      <c r="A1" t="s">
        <v>187</v>
      </c>
      <c r="B1" t="s">
        <v>95</v>
      </c>
      <c r="C1" t="s">
        <v>96</v>
      </c>
      <c r="E1" s="9" t="s">
        <v>201</v>
      </c>
      <c r="F1" t="s">
        <v>225</v>
      </c>
    </row>
    <row r="2" spans="1:6" hidden="1" x14ac:dyDescent="0.15">
      <c r="A2" t="s">
        <v>117</v>
      </c>
      <c r="B2" t="s">
        <v>44</v>
      </c>
      <c r="C2" s="4" t="s">
        <v>26</v>
      </c>
      <c r="E2" s="9">
        <f>SS_GetLatestDate(B2,献立表!D:G,献立表!A:A)</f>
        <v>44120</v>
      </c>
    </row>
    <row r="3" spans="1:6" hidden="1" x14ac:dyDescent="0.15">
      <c r="A3" t="s">
        <v>120</v>
      </c>
      <c r="B3" t="s">
        <v>114</v>
      </c>
      <c r="E3" s="9">
        <f>SS_GetLatestDate(B3,献立表!D:G,献立表!A:A)</f>
        <v>44024</v>
      </c>
    </row>
    <row r="4" spans="1:6" hidden="1" x14ac:dyDescent="0.15">
      <c r="A4" t="s">
        <v>118</v>
      </c>
      <c r="B4" t="s">
        <v>82</v>
      </c>
      <c r="C4" s="4" t="s">
        <v>30</v>
      </c>
      <c r="E4" s="9">
        <f>SS_GetLatestDate(B4,献立表!D:G,献立表!A:A)</f>
        <v>44119</v>
      </c>
    </row>
    <row r="5" spans="1:6" hidden="1" x14ac:dyDescent="0.15">
      <c r="A5" t="s">
        <v>118</v>
      </c>
      <c r="B5" s="5" t="s">
        <v>33</v>
      </c>
      <c r="C5" s="4" t="s">
        <v>34</v>
      </c>
      <c r="E5" s="9">
        <f>SS_GetLatestDate(B5,献立表!D:G,献立表!A:A)</f>
        <v>44026</v>
      </c>
    </row>
    <row r="6" spans="1:6" hidden="1" x14ac:dyDescent="0.15">
      <c r="A6" t="s">
        <v>117</v>
      </c>
      <c r="B6" t="s">
        <v>53</v>
      </c>
      <c r="E6" s="9">
        <f>SS_GetLatestDate(B6,献立表!D:G,献立表!A:A)</f>
        <v>44026</v>
      </c>
    </row>
    <row r="7" spans="1:6" hidden="1" x14ac:dyDescent="0.15">
      <c r="A7" t="s">
        <v>118</v>
      </c>
      <c r="B7" t="s">
        <v>67</v>
      </c>
      <c r="C7" s="4" t="s">
        <v>68</v>
      </c>
      <c r="E7" s="9">
        <f>SS_GetLatestDate(B7,献立表!D:G,献立表!A:A)</f>
        <v>44033</v>
      </c>
    </row>
    <row r="8" spans="1:6" hidden="1" x14ac:dyDescent="0.15">
      <c r="A8" t="s">
        <v>120</v>
      </c>
      <c r="B8" t="s">
        <v>106</v>
      </c>
      <c r="E8" s="9">
        <f>SS_GetLatestDate(B8,献立表!D:G,献立表!A:A)</f>
        <v>44039</v>
      </c>
    </row>
    <row r="9" spans="1:6" hidden="1" x14ac:dyDescent="0.15">
      <c r="A9" t="s">
        <v>117</v>
      </c>
      <c r="B9" t="s">
        <v>76</v>
      </c>
      <c r="C9" s="4" t="s">
        <v>77</v>
      </c>
      <c r="E9" s="9">
        <f>SS_GetLatestDate(B9,献立表!D:G,献立表!A:A)</f>
        <v>44034</v>
      </c>
    </row>
    <row r="10" spans="1:6" hidden="1" x14ac:dyDescent="0.15">
      <c r="A10" t="s">
        <v>120</v>
      </c>
      <c r="B10" t="s">
        <v>107</v>
      </c>
      <c r="E10" s="9">
        <f>SS_GetLatestDate(B10,献立表!D:G,献立表!A:A)</f>
        <v>44132</v>
      </c>
    </row>
    <row r="11" spans="1:6" hidden="1" x14ac:dyDescent="0.15">
      <c r="A11" t="s">
        <v>120</v>
      </c>
      <c r="B11" t="s">
        <v>112</v>
      </c>
      <c r="E11" s="9">
        <f>SS_GetLatestDate(B11,献立表!D:G,献立表!A:A)</f>
        <v>44134</v>
      </c>
    </row>
    <row r="12" spans="1:6" hidden="1" x14ac:dyDescent="0.15">
      <c r="A12" t="s">
        <v>118</v>
      </c>
      <c r="B12" t="s">
        <v>89</v>
      </c>
      <c r="C12" s="4" t="s">
        <v>90</v>
      </c>
      <c r="E12" s="9">
        <f>SS_GetLatestDate(B12,献立表!D:G,献立表!A:A)</f>
        <v>44040</v>
      </c>
    </row>
    <row r="13" spans="1:6" hidden="1" x14ac:dyDescent="0.15">
      <c r="A13" t="s">
        <v>118</v>
      </c>
      <c r="B13" s="5" t="s">
        <v>41</v>
      </c>
      <c r="C13" s="4" t="s">
        <v>42</v>
      </c>
      <c r="E13" s="9">
        <f>SS_GetLatestDate(B13,献立表!D:G,献立表!A:A)</f>
        <v>44041</v>
      </c>
    </row>
    <row r="14" spans="1:6" hidden="1" x14ac:dyDescent="0.15">
      <c r="A14" t="s">
        <v>118</v>
      </c>
      <c r="B14" t="s">
        <v>92</v>
      </c>
      <c r="C14" s="4" t="s">
        <v>91</v>
      </c>
      <c r="E14" s="9">
        <f>SS_GetLatestDate(B14,献立表!D:G,献立表!A:A)</f>
        <v>44120</v>
      </c>
    </row>
    <row r="15" spans="1:6" hidden="1" x14ac:dyDescent="0.15">
      <c r="A15" t="s">
        <v>118</v>
      </c>
      <c r="B15" t="s">
        <v>79</v>
      </c>
      <c r="C15" s="4" t="s">
        <v>20</v>
      </c>
      <c r="E15" s="9">
        <f>SS_GetLatestDate(B15,献立表!D:G,献立表!A:A)</f>
        <v>44043</v>
      </c>
    </row>
    <row r="16" spans="1:6" x14ac:dyDescent="0.15">
      <c r="A16" t="s">
        <v>117</v>
      </c>
      <c r="B16" t="s">
        <v>102</v>
      </c>
      <c r="C16" s="4" t="s">
        <v>101</v>
      </c>
      <c r="E16" s="9">
        <f>SS_GetLatestDate(B16,献立表!D:G,献立表!A:A)</f>
        <v>44043</v>
      </c>
    </row>
    <row r="17" spans="1:6" hidden="1" x14ac:dyDescent="0.15">
      <c r="A17" t="s">
        <v>118</v>
      </c>
      <c r="B17" t="s">
        <v>138</v>
      </c>
      <c r="C17" s="4" t="s">
        <v>139</v>
      </c>
      <c r="E17" s="9">
        <f>SS_GetLatestDate(B17,献立表!D:G,献立表!A:A)</f>
        <v>44046</v>
      </c>
    </row>
    <row r="18" spans="1:6" hidden="1" x14ac:dyDescent="0.15">
      <c r="A18" t="s">
        <v>120</v>
      </c>
      <c r="B18" t="s">
        <v>162</v>
      </c>
      <c r="E18" s="9">
        <f>SS_GetLatestDate(B18,献立表!D:G,献立表!A:A)</f>
        <v>44050</v>
      </c>
    </row>
    <row r="19" spans="1:6" hidden="1" x14ac:dyDescent="0.15">
      <c r="A19" t="s">
        <v>118</v>
      </c>
      <c r="B19" t="s">
        <v>137</v>
      </c>
      <c r="C19" s="4" t="s">
        <v>140</v>
      </c>
      <c r="E19" s="9">
        <f>SS_GetLatestDate(B19,献立表!D:G,献立表!A:A)</f>
        <v>44047</v>
      </c>
    </row>
    <row r="20" spans="1:6" hidden="1" x14ac:dyDescent="0.15">
      <c r="A20" t="s">
        <v>151</v>
      </c>
      <c r="B20" t="s">
        <v>149</v>
      </c>
      <c r="C20" s="4" t="s">
        <v>150</v>
      </c>
      <c r="E20" s="9">
        <f>SS_GetLatestDate(B20,献立表!D:G,献立表!A:A)</f>
        <v>44049</v>
      </c>
    </row>
    <row r="21" spans="1:6" hidden="1" x14ac:dyDescent="0.15">
      <c r="A21" t="s">
        <v>120</v>
      </c>
      <c r="B21" t="s">
        <v>194</v>
      </c>
      <c r="E21" s="9">
        <f>SS_GetLatestDate(B21,献立表!D:G,献立表!A:A)</f>
        <v>44062</v>
      </c>
    </row>
    <row r="22" spans="1:6" hidden="1" x14ac:dyDescent="0.15">
      <c r="A22" t="s">
        <v>118</v>
      </c>
      <c r="B22" t="s">
        <v>155</v>
      </c>
      <c r="C22" s="4" t="s">
        <v>153</v>
      </c>
      <c r="E22" s="9">
        <f>SS_GetLatestDate(B22,献立表!D:G,献立表!A:A)</f>
        <v>44050</v>
      </c>
    </row>
    <row r="23" spans="1:6" hidden="1" x14ac:dyDescent="0.15">
      <c r="A23" t="s">
        <v>118</v>
      </c>
      <c r="B23" t="s">
        <v>164</v>
      </c>
      <c r="C23" s="4" t="s">
        <v>163</v>
      </c>
      <c r="E23" s="9">
        <f>SS_GetLatestDate(B23,献立表!D:G,献立表!A:A)</f>
        <v>44050</v>
      </c>
    </row>
    <row r="24" spans="1:6" hidden="1" x14ac:dyDescent="0.15">
      <c r="A24" t="s">
        <v>117</v>
      </c>
      <c r="B24" t="s">
        <v>172</v>
      </c>
      <c r="C24" s="4" t="s">
        <v>171</v>
      </c>
      <c r="E24" s="9">
        <f>SS_GetLatestDate(B24,献立表!D:G,献立表!A:A)</f>
        <v>44057</v>
      </c>
    </row>
    <row r="25" spans="1:6" hidden="1" x14ac:dyDescent="0.15">
      <c r="A25" t="s">
        <v>118</v>
      </c>
      <c r="B25" t="s">
        <v>179</v>
      </c>
      <c r="C25" s="4" t="s">
        <v>178</v>
      </c>
      <c r="E25" s="9">
        <f>SS_GetLatestDate(B25,献立表!D:G,献立表!A:A)</f>
        <v>44057</v>
      </c>
    </row>
    <row r="26" spans="1:6" hidden="1" x14ac:dyDescent="0.15">
      <c r="A26" t="s">
        <v>120</v>
      </c>
      <c r="B26" t="s">
        <v>113</v>
      </c>
      <c r="E26" s="9">
        <f>SS_GetLatestDate(B26,献立表!D:G,献立表!A:A)</f>
        <v>44064</v>
      </c>
    </row>
    <row r="27" spans="1:6" x14ac:dyDescent="0.15">
      <c r="A27" t="s">
        <v>151</v>
      </c>
      <c r="B27" t="s">
        <v>143</v>
      </c>
      <c r="C27" s="4" t="s">
        <v>144</v>
      </c>
      <c r="E27" s="9">
        <f>SS_GetLatestDate(B27,献立表!D:G,献立表!A:A)</f>
        <v>44062</v>
      </c>
    </row>
    <row r="28" spans="1:6" hidden="1" x14ac:dyDescent="0.15">
      <c r="A28" t="s">
        <v>118</v>
      </c>
      <c r="B28" t="s">
        <v>124</v>
      </c>
      <c r="E28" s="9">
        <f>SS_GetLatestDate(B28,献立表!D:G,献立表!A:A)</f>
        <v>44064</v>
      </c>
    </row>
    <row r="29" spans="1:6" hidden="1" x14ac:dyDescent="0.15">
      <c r="A29" t="s">
        <v>120</v>
      </c>
      <c r="B29" t="s">
        <v>208</v>
      </c>
      <c r="C29" s="4" t="s">
        <v>209</v>
      </c>
      <c r="E29" s="9">
        <f>SS_GetLatestDate(B29,献立表!D:G,献立表!A:A)</f>
        <v>44069</v>
      </c>
      <c r="F29" t="s">
        <v>226</v>
      </c>
    </row>
    <row r="30" spans="1:6" hidden="1" x14ac:dyDescent="0.15">
      <c r="A30" t="s">
        <v>118</v>
      </c>
      <c r="B30" t="s">
        <v>158</v>
      </c>
      <c r="C30" s="4" t="s">
        <v>203</v>
      </c>
      <c r="E30" s="9">
        <f>SS_GetLatestDate(B30,献立表!D:G,献立表!A:A)</f>
        <v>44068</v>
      </c>
    </row>
    <row r="31" spans="1:6" x14ac:dyDescent="0.15">
      <c r="A31" t="s">
        <v>151</v>
      </c>
      <c r="B31" t="s">
        <v>145</v>
      </c>
      <c r="C31" s="4" t="s">
        <v>146</v>
      </c>
      <c r="E31" s="9">
        <f>SS_GetLatestDate(B31,献立表!D:G,献立表!A:A)</f>
        <v>44068</v>
      </c>
    </row>
    <row r="32" spans="1:6" hidden="1" x14ac:dyDescent="0.15">
      <c r="A32" t="s">
        <v>120</v>
      </c>
      <c r="B32" t="s">
        <v>232</v>
      </c>
      <c r="E32" s="9">
        <f>SS_GetLatestDate(B32,献立表!D:G,献立表!A:A)</f>
        <v>44075</v>
      </c>
    </row>
    <row r="33" spans="1:5" hidden="1" x14ac:dyDescent="0.15">
      <c r="A33" t="s">
        <v>118</v>
      </c>
      <c r="B33" t="s">
        <v>159</v>
      </c>
      <c r="C33" s="4" t="s">
        <v>160</v>
      </c>
      <c r="E33" s="9">
        <f>SS_GetLatestDate(B33,献立表!D:G,献立表!A:A)</f>
        <v>44070</v>
      </c>
    </row>
    <row r="34" spans="1:5" hidden="1" x14ac:dyDescent="0.15">
      <c r="A34" t="s">
        <v>118</v>
      </c>
      <c r="B34" t="s">
        <v>214</v>
      </c>
      <c r="C34" s="4" t="s">
        <v>215</v>
      </c>
      <c r="E34" s="9">
        <f>SS_GetLatestDate(B34,献立表!D:G,献立表!A:A)</f>
        <v>44071</v>
      </c>
    </row>
    <row r="35" spans="1:5" hidden="1" x14ac:dyDescent="0.15">
      <c r="A35" t="s">
        <v>120</v>
      </c>
      <c r="B35" t="s">
        <v>108</v>
      </c>
      <c r="E35" s="9">
        <f>SS_GetLatestDate(B35,献立表!D:G,献立表!A:A)</f>
        <v>44076</v>
      </c>
    </row>
    <row r="36" spans="1:5" x14ac:dyDescent="0.15">
      <c r="A36" t="s">
        <v>151</v>
      </c>
      <c r="B36" t="s">
        <v>147</v>
      </c>
      <c r="C36" s="4" t="s">
        <v>332</v>
      </c>
      <c r="D36" s="4" t="s">
        <v>148</v>
      </c>
      <c r="E36" s="9">
        <f>SS_GetLatestDate(B36,献立表!D:G,献立表!A:A)</f>
        <v>44075</v>
      </c>
    </row>
    <row r="37" spans="1:5" hidden="1" x14ac:dyDescent="0.15">
      <c r="A37" t="s">
        <v>120</v>
      </c>
      <c r="B37" t="s">
        <v>241</v>
      </c>
      <c r="C37" s="4" t="s">
        <v>242</v>
      </c>
      <c r="E37" s="9">
        <f>SS_GetLatestDate(B37,献立表!D:G,献立表!A:A)</f>
        <v>44078</v>
      </c>
    </row>
    <row r="38" spans="1:5" hidden="1" x14ac:dyDescent="0.15">
      <c r="A38" t="s">
        <v>118</v>
      </c>
      <c r="B38" t="s">
        <v>196</v>
      </c>
      <c r="C38" s="4" t="s">
        <v>195</v>
      </c>
      <c r="E38" s="9">
        <f>SS_GetLatestDate(B38,献立表!D:G,献立表!A:A)</f>
        <v>44076</v>
      </c>
    </row>
    <row r="39" spans="1:5" hidden="1" x14ac:dyDescent="0.15">
      <c r="A39" t="s">
        <v>118</v>
      </c>
      <c r="B39" t="s">
        <v>235</v>
      </c>
      <c r="C39" s="4" t="s">
        <v>236</v>
      </c>
      <c r="E39" s="9">
        <f>SS_GetLatestDate(B39,献立表!D:G,献立表!A:A)</f>
        <v>44077</v>
      </c>
    </row>
    <row r="40" spans="1:5" hidden="1" x14ac:dyDescent="0.15">
      <c r="A40" t="s">
        <v>117</v>
      </c>
      <c r="B40" t="s">
        <v>245</v>
      </c>
      <c r="C40" s="4" t="s">
        <v>244</v>
      </c>
      <c r="E40" s="9">
        <f>SS_GetLatestDate(B40,献立表!D:G,献立表!A:A)</f>
        <v>44078</v>
      </c>
    </row>
    <row r="41" spans="1:5" hidden="1" x14ac:dyDescent="0.15">
      <c r="A41" t="s">
        <v>120</v>
      </c>
      <c r="B41" t="s">
        <v>259</v>
      </c>
      <c r="E41" s="9">
        <f>SS_GetLatestDate(B41,献立表!D:G,献立表!A:A)</f>
        <v>44082</v>
      </c>
    </row>
    <row r="42" spans="1:5" hidden="1" x14ac:dyDescent="0.15">
      <c r="A42" t="s">
        <v>118</v>
      </c>
      <c r="B42" t="s">
        <v>238</v>
      </c>
      <c r="C42" s="4" t="s">
        <v>346</v>
      </c>
      <c r="E42" s="9">
        <f>SS_GetLatestDate(B42,献立表!D:G,献立表!A:A)</f>
        <v>44133</v>
      </c>
    </row>
    <row r="43" spans="1:5" hidden="1" x14ac:dyDescent="0.15">
      <c r="A43" t="s">
        <v>120</v>
      </c>
      <c r="B43" t="s">
        <v>227</v>
      </c>
      <c r="E43" s="9">
        <f>SS_GetLatestDate(B43,献立表!D:G,献立表!A:A)</f>
        <v>44085</v>
      </c>
    </row>
    <row r="44" spans="1:5" hidden="1" x14ac:dyDescent="0.15">
      <c r="A44" t="s">
        <v>264</v>
      </c>
      <c r="B44" t="s">
        <v>263</v>
      </c>
      <c r="C44" s="4" t="s">
        <v>262</v>
      </c>
      <c r="E44" s="9">
        <f>SS_GetLatestDate(B44,献立表!D:G,献立表!A:A)</f>
        <v>44082</v>
      </c>
    </row>
    <row r="45" spans="1:5" hidden="1" x14ac:dyDescent="0.15">
      <c r="A45" t="s">
        <v>118</v>
      </c>
      <c r="B45" t="s">
        <v>129</v>
      </c>
      <c r="C45" s="4" t="s">
        <v>130</v>
      </c>
      <c r="E45" s="9">
        <f>SS_GetLatestDate(B45,献立表!D:G,献立表!A:A)</f>
        <v>44083</v>
      </c>
    </row>
    <row r="46" spans="1:5" hidden="1" x14ac:dyDescent="0.15">
      <c r="A46" t="s">
        <v>117</v>
      </c>
      <c r="B46" t="s">
        <v>98</v>
      </c>
      <c r="C46" s="4" t="s">
        <v>97</v>
      </c>
      <c r="E46" s="9">
        <f>SS_GetLatestDate(B46,献立表!D:G,献立表!A:A)</f>
        <v>44083</v>
      </c>
    </row>
    <row r="47" spans="1:5" hidden="1" x14ac:dyDescent="0.15">
      <c r="A47" t="s">
        <v>264</v>
      </c>
      <c r="B47" t="s">
        <v>274</v>
      </c>
      <c r="C47" t="s">
        <v>273</v>
      </c>
      <c r="E47" s="9">
        <f>SS_GetLatestDate(B47,献立表!D:G,献立表!A:A)</f>
        <v>44084</v>
      </c>
    </row>
    <row r="48" spans="1:5" hidden="1" x14ac:dyDescent="0.15">
      <c r="A48" t="s">
        <v>288</v>
      </c>
      <c r="B48" t="s">
        <v>287</v>
      </c>
      <c r="C48" t="s">
        <v>289</v>
      </c>
      <c r="E48" s="9">
        <f>SS_GetLatestDate(B48,献立表!D:G,献立表!A:A)</f>
        <v>44085</v>
      </c>
    </row>
    <row r="49" spans="1:5" hidden="1" x14ac:dyDescent="0.15">
      <c r="A49" t="s">
        <v>118</v>
      </c>
      <c r="B49" t="s">
        <v>286</v>
      </c>
      <c r="C49" s="4" t="s">
        <v>284</v>
      </c>
      <c r="E49" s="9">
        <f>SS_GetLatestDate(B49,献立表!D:G,献立表!A:A)</f>
        <v>44085</v>
      </c>
    </row>
    <row r="50" spans="1:5" hidden="1" x14ac:dyDescent="0.15">
      <c r="A50" t="s">
        <v>120</v>
      </c>
      <c r="B50" t="s">
        <v>111</v>
      </c>
      <c r="E50" s="9">
        <f>SS_GetLatestDate(B50,献立表!D:G,献立表!A:A)</f>
        <v>44090</v>
      </c>
    </row>
    <row r="51" spans="1:5" hidden="1" x14ac:dyDescent="0.15">
      <c r="A51" t="s">
        <v>117</v>
      </c>
      <c r="B51" t="s">
        <v>251</v>
      </c>
      <c r="C51" s="4" t="s">
        <v>253</v>
      </c>
      <c r="E51" s="9">
        <f>SS_GetLatestDate(B51,献立表!D:G,献立表!A:A)</f>
        <v>44089</v>
      </c>
    </row>
    <row r="52" spans="1:5" hidden="1" x14ac:dyDescent="0.15">
      <c r="A52" t="s">
        <v>301</v>
      </c>
      <c r="B52" t="s">
        <v>300</v>
      </c>
      <c r="C52" t="s">
        <v>302</v>
      </c>
      <c r="E52" s="9">
        <f>SS_GetLatestDate(B52,献立表!D:G,献立表!A:A)</f>
        <v>44090</v>
      </c>
    </row>
    <row r="53" spans="1:5" hidden="1" x14ac:dyDescent="0.15">
      <c r="A53" t="s">
        <v>120</v>
      </c>
      <c r="B53" t="s">
        <v>116</v>
      </c>
      <c r="E53" s="9">
        <f>SS_GetLatestDate(B53,献立表!D:G,献立表!A:A)</f>
        <v>44092</v>
      </c>
    </row>
    <row r="54" spans="1:5" hidden="1" x14ac:dyDescent="0.15">
      <c r="A54" t="s">
        <v>118</v>
      </c>
      <c r="B54" t="s">
        <v>80</v>
      </c>
      <c r="C54" s="4" t="s">
        <v>24</v>
      </c>
      <c r="E54" s="9">
        <f>SS_GetLatestDate(B54,献立表!D:G,献立表!A:A)</f>
        <v>44091</v>
      </c>
    </row>
    <row r="55" spans="1:5" hidden="1" x14ac:dyDescent="0.15">
      <c r="A55" t="s">
        <v>264</v>
      </c>
      <c r="B55" t="s">
        <v>272</v>
      </c>
      <c r="C55" s="4" t="s">
        <v>295</v>
      </c>
      <c r="E55" s="9">
        <f>SS_GetLatestDate(B55,献立表!D:G,献立表!A:A)</f>
        <v>44092</v>
      </c>
    </row>
    <row r="56" spans="1:5" hidden="1" x14ac:dyDescent="0.15">
      <c r="A56" t="s">
        <v>117</v>
      </c>
      <c r="B56" t="s">
        <v>252</v>
      </c>
      <c r="C56" s="4" t="s">
        <v>254</v>
      </c>
      <c r="E56" s="9">
        <f>SS_GetLatestDate(B56,献立表!D:G,献立表!A:A)</f>
        <v>44092</v>
      </c>
    </row>
    <row r="57" spans="1:5" hidden="1" x14ac:dyDescent="0.15">
      <c r="A57" t="s">
        <v>120</v>
      </c>
      <c r="B57" t="s">
        <v>202</v>
      </c>
      <c r="E57" s="9">
        <f>SS_GetLatestDate(B57,献立表!D:G,献立表!A:A)</f>
        <v>44106</v>
      </c>
    </row>
    <row r="58" spans="1:5" hidden="1" x14ac:dyDescent="0.15">
      <c r="A58" t="s">
        <v>118</v>
      </c>
      <c r="B58" s="5" t="s">
        <v>311</v>
      </c>
      <c r="E58" s="9">
        <f>SS_GetLatestDate(B58,献立表!D:G,献立表!A:A)</f>
        <v>44103</v>
      </c>
    </row>
    <row r="59" spans="1:5" hidden="1" x14ac:dyDescent="0.15">
      <c r="A59" t="s">
        <v>317</v>
      </c>
      <c r="B59" t="s">
        <v>318</v>
      </c>
      <c r="C59" s="4" t="s">
        <v>319</v>
      </c>
      <c r="E59" s="9">
        <f>SS_GetLatestDate(B59,献立表!D:G,献立表!A:A)</f>
        <v>44104</v>
      </c>
    </row>
    <row r="60" spans="1:5" hidden="1" x14ac:dyDescent="0.15">
      <c r="A60" t="s">
        <v>118</v>
      </c>
      <c r="B60" t="s">
        <v>54</v>
      </c>
      <c r="C60" s="4" t="s">
        <v>25</v>
      </c>
      <c r="E60" s="9">
        <f>SS_GetLatestDate(B60,献立表!D:G,献立表!A:A)</f>
        <v>44105</v>
      </c>
    </row>
    <row r="61" spans="1:5" hidden="1" x14ac:dyDescent="0.15">
      <c r="A61" t="s">
        <v>118</v>
      </c>
      <c r="B61" t="s">
        <v>320</v>
      </c>
      <c r="C61" s="4" t="s">
        <v>321</v>
      </c>
      <c r="E61" s="9">
        <f>SS_GetLatestDate(B61,献立表!D:G,献立表!A:A)</f>
        <v>44134</v>
      </c>
    </row>
    <row r="62" spans="1:5" x14ac:dyDescent="0.15">
      <c r="A62" t="s">
        <v>117</v>
      </c>
      <c r="B62" t="s">
        <v>46</v>
      </c>
      <c r="C62" s="4" t="s">
        <v>47</v>
      </c>
      <c r="E62" s="9">
        <f>SS_GetLatestDate(B62,献立表!D:G,献立表!A:A)</f>
        <v>44106</v>
      </c>
    </row>
    <row r="63" spans="1:5" hidden="1" x14ac:dyDescent="0.15">
      <c r="A63" t="s">
        <v>120</v>
      </c>
      <c r="B63" t="s">
        <v>239</v>
      </c>
      <c r="E63" s="9">
        <f>SS_GetLatestDate(B63,献立表!D:G,献立表!A:A)</f>
        <v>44112</v>
      </c>
    </row>
    <row r="64" spans="1:5" hidden="1" x14ac:dyDescent="0.15">
      <c r="A64" t="s">
        <v>264</v>
      </c>
      <c r="B64" t="s">
        <v>205</v>
      </c>
      <c r="E64" s="9">
        <f>SS_GetLatestDate(B64,献立表!D:G,献立表!A:A)</f>
        <v>44131</v>
      </c>
    </row>
    <row r="65" spans="1:5" hidden="1" x14ac:dyDescent="0.15">
      <c r="A65" t="s">
        <v>120</v>
      </c>
      <c r="B65" t="s">
        <v>65</v>
      </c>
      <c r="C65" s="4" t="s">
        <v>66</v>
      </c>
      <c r="E65" s="9">
        <f>SS_GetLatestDate(B65,献立表!D:G,献立表!A:A)</f>
        <v>44120</v>
      </c>
    </row>
    <row r="66" spans="1:5" hidden="1" x14ac:dyDescent="0.15">
      <c r="A66" t="s">
        <v>117</v>
      </c>
      <c r="B66" t="s">
        <v>335</v>
      </c>
      <c r="C66" s="4" t="s">
        <v>333</v>
      </c>
      <c r="E66" s="9">
        <f>SS_GetLatestDate(B66,献立表!D:G,献立表!A:A)</f>
        <v>44111</v>
      </c>
    </row>
    <row r="67" spans="1:5" hidden="1" x14ac:dyDescent="0.15">
      <c r="A67" t="s">
        <v>120</v>
      </c>
      <c r="B67" t="s">
        <v>115</v>
      </c>
      <c r="E67" s="9">
        <f>SS_GetLatestDate(B67,献立表!D:G,献立表!A:A)</f>
        <v>44130</v>
      </c>
    </row>
    <row r="68" spans="1:5" hidden="1" x14ac:dyDescent="0.15">
      <c r="A68" t="s">
        <v>264</v>
      </c>
      <c r="B68" t="s">
        <v>275</v>
      </c>
      <c r="C68" s="4" t="s">
        <v>327</v>
      </c>
      <c r="E68" s="9">
        <f>SS_GetLatestDate(B68,献立表!D:G,献立表!A:A)</f>
        <v>44112</v>
      </c>
    </row>
    <row r="69" spans="1:5" hidden="1" x14ac:dyDescent="0.15">
      <c r="A69" t="s">
        <v>117</v>
      </c>
      <c r="B69" s="5" t="s">
        <v>324</v>
      </c>
      <c r="E69" s="9">
        <f>SS_GetLatestDate(B69,献立表!D:G,献立表!A:A)</f>
        <v>44112</v>
      </c>
    </row>
    <row r="70" spans="1:5" hidden="1" x14ac:dyDescent="0.15">
      <c r="A70" t="s">
        <v>118</v>
      </c>
      <c r="B70" t="s">
        <v>73</v>
      </c>
      <c r="C70" s="4" t="s">
        <v>74</v>
      </c>
      <c r="E70" s="9">
        <f>SS_GetLatestDate(B70,献立表!D:G,献立表!A:A)</f>
        <v>44113</v>
      </c>
    </row>
    <row r="71" spans="1:5" hidden="1" x14ac:dyDescent="0.15">
      <c r="A71" t="s">
        <v>118</v>
      </c>
      <c r="B71" t="s">
        <v>326</v>
      </c>
      <c r="C71" s="4" t="s">
        <v>325</v>
      </c>
      <c r="E71" s="9">
        <f>SS_GetLatestDate(B71,献立表!D:G,献立表!A:A)</f>
        <v>44113</v>
      </c>
    </row>
    <row r="72" spans="1:5" x14ac:dyDescent="0.15">
      <c r="A72" t="s">
        <v>224</v>
      </c>
      <c r="B72" t="s">
        <v>211</v>
      </c>
      <c r="C72" t="s">
        <v>223</v>
      </c>
      <c r="E72" s="9">
        <f>SS_GetLatestDate(B72,献立表!D:G,献立表!A:A)</f>
        <v>44113</v>
      </c>
    </row>
    <row r="73" spans="1:5" hidden="1" x14ac:dyDescent="0.15">
      <c r="A73" t="s">
        <v>118</v>
      </c>
      <c r="B73" t="s">
        <v>133</v>
      </c>
      <c r="E73" s="9">
        <f>SS_GetLatestDate(B73,献立表!D:G,献立表!A:A)</f>
        <v>44118</v>
      </c>
    </row>
    <row r="74" spans="1:5" hidden="1" x14ac:dyDescent="0.15">
      <c r="A74" t="s">
        <v>117</v>
      </c>
      <c r="B74" t="s">
        <v>125</v>
      </c>
      <c r="C74" s="4" t="s">
        <v>126</v>
      </c>
      <c r="E74" s="9" t="str">
        <f>SS_GetLatestDate(B74,献立表!D:G,献立表!A:A)</f>
        <v>no data</v>
      </c>
    </row>
    <row r="75" spans="1:5" hidden="1" x14ac:dyDescent="0.15">
      <c r="A75" t="s">
        <v>118</v>
      </c>
      <c r="B75" t="s">
        <v>128</v>
      </c>
      <c r="C75" s="4" t="s">
        <v>127</v>
      </c>
      <c r="E75" s="9" t="str">
        <f>SS_GetLatestDate(B75,献立表!D:G,献立表!A:A)</f>
        <v>no data</v>
      </c>
    </row>
    <row r="76" spans="1:5" hidden="1" x14ac:dyDescent="0.15">
      <c r="A76" t="s">
        <v>118</v>
      </c>
      <c r="B76" t="s">
        <v>84</v>
      </c>
      <c r="C76" s="4" t="s">
        <v>83</v>
      </c>
      <c r="E76" s="9" t="str">
        <f>SS_GetLatestDate(B76,献立表!D:G,献立表!A:A)</f>
        <v>no data</v>
      </c>
    </row>
    <row r="77" spans="1:5" hidden="1" x14ac:dyDescent="0.15">
      <c r="A77" t="s">
        <v>120</v>
      </c>
      <c r="B77" t="s">
        <v>110</v>
      </c>
      <c r="E77" s="9" t="str">
        <f>SS_GetLatestDate(B77,献立表!D:G,献立表!A:A)</f>
        <v>no data</v>
      </c>
    </row>
    <row r="78" spans="1:5" hidden="1" x14ac:dyDescent="0.15">
      <c r="A78" t="s">
        <v>117</v>
      </c>
      <c r="B78" t="s">
        <v>85</v>
      </c>
      <c r="C78" s="4" t="s">
        <v>38</v>
      </c>
      <c r="E78" s="9" t="str">
        <f>SS_GetLatestDate(B78,献立表!D:G,献立表!A:A)</f>
        <v>no data</v>
      </c>
    </row>
    <row r="79" spans="1:5" hidden="1" x14ac:dyDescent="0.15">
      <c r="A79" t="s">
        <v>119</v>
      </c>
      <c r="B79" t="s">
        <v>62</v>
      </c>
      <c r="C79" s="4" t="s">
        <v>63</v>
      </c>
      <c r="E79" s="9" t="str">
        <f>SS_GetLatestDate(B79,献立表!D:G,献立表!A:A)</f>
        <v>no data</v>
      </c>
    </row>
    <row r="80" spans="1:5" hidden="1" x14ac:dyDescent="0.15">
      <c r="A80" t="s">
        <v>117</v>
      </c>
      <c r="B80" t="s">
        <v>81</v>
      </c>
      <c r="C80" s="4" t="s">
        <v>23</v>
      </c>
      <c r="E80" s="9" t="str">
        <f>SS_GetLatestDate(B80,献立表!D:G,献立表!A:A)</f>
        <v>no data</v>
      </c>
    </row>
    <row r="81" spans="1:5" hidden="1" x14ac:dyDescent="0.15">
      <c r="A81" t="s">
        <v>120</v>
      </c>
      <c r="B81" t="s">
        <v>109</v>
      </c>
      <c r="C81" s="4" t="s">
        <v>21</v>
      </c>
      <c r="E81" s="9" t="str">
        <f>SS_GetLatestDate(B81,献立表!D:G,献立表!A:A)</f>
        <v>no data</v>
      </c>
    </row>
    <row r="82" spans="1:5" hidden="1" x14ac:dyDescent="0.15">
      <c r="A82" t="s">
        <v>266</v>
      </c>
      <c r="B82" t="s">
        <v>271</v>
      </c>
      <c r="C82" t="s">
        <v>270</v>
      </c>
      <c r="E82" s="9" t="str">
        <f>SS_GetLatestDate(B82,献立表!D:G,献立表!A:A)</f>
        <v>no data</v>
      </c>
    </row>
    <row r="83" spans="1:5" hidden="1" x14ac:dyDescent="0.15">
      <c r="A83" t="s">
        <v>120</v>
      </c>
      <c r="B83" t="s">
        <v>298</v>
      </c>
      <c r="C83" t="s">
        <v>297</v>
      </c>
      <c r="E83" s="9" t="str">
        <f>SS_GetLatestDate(B83,献立表!D:G,献立表!A:A)</f>
        <v>no data</v>
      </c>
    </row>
    <row r="84" spans="1:5" hidden="1" x14ac:dyDescent="0.15">
      <c r="A84" t="s">
        <v>117</v>
      </c>
      <c r="B84" t="s">
        <v>70</v>
      </c>
      <c r="C84" s="4" t="s">
        <v>69</v>
      </c>
      <c r="E84" s="9" t="str">
        <f>SS_GetLatestDate(B84,献立表!D:G,献立表!A:A)</f>
        <v>no data</v>
      </c>
    </row>
    <row r="85" spans="1:5" hidden="1" x14ac:dyDescent="0.15">
      <c r="A85" t="s">
        <v>301</v>
      </c>
      <c r="B85" t="s">
        <v>306</v>
      </c>
      <c r="C85" t="s">
        <v>305</v>
      </c>
      <c r="E85" s="9" t="str">
        <f>SS_GetLatestDate(B85,献立表!D:G,献立表!A:A)</f>
        <v>no data</v>
      </c>
    </row>
    <row r="86" spans="1:5" hidden="1" x14ac:dyDescent="0.15">
      <c r="A86" t="s">
        <v>301</v>
      </c>
      <c r="B86" t="s">
        <v>303</v>
      </c>
      <c r="C86" t="s">
        <v>304</v>
      </c>
      <c r="E86" s="9" t="str">
        <f>SS_GetLatestDate(B86,献立表!D:G,献立表!A:A)</f>
        <v>no data</v>
      </c>
    </row>
    <row r="87" spans="1:5" hidden="1" x14ac:dyDescent="0.15">
      <c r="A87" t="s">
        <v>118</v>
      </c>
      <c r="B87" t="s">
        <v>157</v>
      </c>
      <c r="C87" s="4" t="s">
        <v>156</v>
      </c>
      <c r="E87" s="9" t="str">
        <f>SS_GetLatestDate(B87,献立表!D:G,献立表!A:A)</f>
        <v>no data</v>
      </c>
    </row>
    <row r="88" spans="1:5" hidden="1" x14ac:dyDescent="0.15">
      <c r="A88" t="s">
        <v>118</v>
      </c>
      <c r="B88" t="s">
        <v>152</v>
      </c>
      <c r="C88" s="4" t="s">
        <v>153</v>
      </c>
      <c r="E88" s="9" t="str">
        <f>SS_GetLatestDate(B88,献立表!D:G,献立表!A:A)</f>
        <v>no data</v>
      </c>
    </row>
    <row r="89" spans="1:5" hidden="1" x14ac:dyDescent="0.15">
      <c r="A89" t="s">
        <v>120</v>
      </c>
      <c r="B89" t="s">
        <v>217</v>
      </c>
      <c r="C89" s="4" t="s">
        <v>218</v>
      </c>
      <c r="E89" s="9" t="str">
        <f>SS_GetLatestDate(B89,献立表!D:G,献立表!A:A)</f>
        <v>no data</v>
      </c>
    </row>
    <row r="90" spans="1:5" hidden="1" x14ac:dyDescent="0.15">
      <c r="A90" t="s">
        <v>118</v>
      </c>
      <c r="B90" t="s">
        <v>71</v>
      </c>
      <c r="C90" s="4" t="s">
        <v>72</v>
      </c>
      <c r="E90" s="9" t="str">
        <f>SS_GetLatestDate(B90,献立表!D:G,献立表!A:A)</f>
        <v>no data</v>
      </c>
    </row>
    <row r="91" spans="1:5" hidden="1" x14ac:dyDescent="0.15">
      <c r="A91" t="s">
        <v>117</v>
      </c>
      <c r="B91" t="s">
        <v>290</v>
      </c>
      <c r="C91" t="s">
        <v>291</v>
      </c>
      <c r="E91" s="9" t="str">
        <f>SS_GetLatestDate(B91,献立表!D:G,献立表!A:A)</f>
        <v>no data</v>
      </c>
    </row>
    <row r="92" spans="1:5" hidden="1" x14ac:dyDescent="0.15">
      <c r="A92" t="s">
        <v>120</v>
      </c>
      <c r="B92" t="s">
        <v>221</v>
      </c>
      <c r="C92" s="4" t="s">
        <v>222</v>
      </c>
      <c r="E92" s="9" t="str">
        <f>SS_GetLatestDate(B92,献立表!D:G,献立表!A:A)</f>
        <v>no data</v>
      </c>
    </row>
    <row r="93" spans="1:5" hidden="1" x14ac:dyDescent="0.15">
      <c r="A93" t="s">
        <v>120</v>
      </c>
      <c r="B93" t="s">
        <v>185</v>
      </c>
      <c r="C93" s="4" t="s">
        <v>186</v>
      </c>
      <c r="E93" s="9" t="str">
        <f>SS_GetLatestDate(B93,献立表!D:G,献立表!A:A)</f>
        <v>no data</v>
      </c>
    </row>
    <row r="94" spans="1:5" x14ac:dyDescent="0.15">
      <c r="A94" t="s">
        <v>117</v>
      </c>
      <c r="B94" t="s">
        <v>199</v>
      </c>
      <c r="C94" s="4" t="s">
        <v>200</v>
      </c>
      <c r="E94" s="9" t="str">
        <f>SS_GetLatestDate(B94,献立表!D:G,献立表!A:A)</f>
        <v>no data</v>
      </c>
    </row>
    <row r="95" spans="1:5" x14ac:dyDescent="0.15">
      <c r="A95" t="s">
        <v>117</v>
      </c>
      <c r="B95" t="s">
        <v>51</v>
      </c>
      <c r="C95" s="4" t="s">
        <v>50</v>
      </c>
      <c r="E95" s="9" t="str">
        <f>SS_GetLatestDate(B95,献立表!D:G,献立表!A:A)</f>
        <v>no data</v>
      </c>
    </row>
    <row r="96" spans="1:5" x14ac:dyDescent="0.15">
      <c r="A96" t="s">
        <v>117</v>
      </c>
      <c r="B96" t="s">
        <v>49</v>
      </c>
      <c r="C96" s="4" t="s">
        <v>48</v>
      </c>
      <c r="E96" s="9" t="str">
        <f>SS_GetLatestDate(B96,献立表!D:G,献立表!A:A)</f>
        <v>no data</v>
      </c>
    </row>
    <row r="97" spans="1:6" hidden="1" x14ac:dyDescent="0.15">
      <c r="A97" t="s">
        <v>118</v>
      </c>
      <c r="B97" t="s">
        <v>165</v>
      </c>
      <c r="C97" s="4" t="s">
        <v>167</v>
      </c>
      <c r="E97" s="9">
        <f>SS_GetLatestDate(B97,献立表!D:G,献立表!A:A)</f>
        <v>44134</v>
      </c>
    </row>
    <row r="98" spans="1:6" hidden="1" x14ac:dyDescent="0.15">
      <c r="A98" t="s">
        <v>118</v>
      </c>
      <c r="B98" t="s">
        <v>166</v>
      </c>
      <c r="C98" s="4" t="s">
        <v>168</v>
      </c>
      <c r="E98" s="9" t="str">
        <f>SS_GetLatestDate(B98,献立表!D:G,献立表!A:A)</f>
        <v>no data</v>
      </c>
    </row>
    <row r="99" spans="1:6" hidden="1" x14ac:dyDescent="0.15">
      <c r="A99" t="s">
        <v>118</v>
      </c>
      <c r="B99" t="s">
        <v>192</v>
      </c>
      <c r="C99" s="4" t="s">
        <v>191</v>
      </c>
      <c r="D99" s="4" t="s">
        <v>193</v>
      </c>
      <c r="E99" s="9" t="str">
        <f>SS_GetLatestDate(B99,献立表!D:G,献立表!A:A)</f>
        <v>no data</v>
      </c>
    </row>
    <row r="100" spans="1:6" hidden="1" x14ac:dyDescent="0.15">
      <c r="A100" t="s">
        <v>118</v>
      </c>
      <c r="B100" t="s">
        <v>78</v>
      </c>
      <c r="C100" s="4" t="s">
        <v>19</v>
      </c>
      <c r="E100" s="9" t="str">
        <f>SS_GetLatestDate(B100,献立表!D:G,献立表!A:A)</f>
        <v>no data</v>
      </c>
    </row>
    <row r="101" spans="1:6" hidden="1" x14ac:dyDescent="0.15">
      <c r="A101" t="s">
        <v>117</v>
      </c>
      <c r="B101" t="s">
        <v>247</v>
      </c>
      <c r="C101" s="4" t="s">
        <v>248</v>
      </c>
      <c r="E101" s="9" t="str">
        <f>SS_GetLatestDate(B101,献立表!D:G,献立表!A:A)</f>
        <v>no data</v>
      </c>
    </row>
    <row r="102" spans="1:6" hidden="1" x14ac:dyDescent="0.15">
      <c r="A102" t="s">
        <v>117</v>
      </c>
      <c r="B102" t="s">
        <v>123</v>
      </c>
      <c r="E102" s="9" t="str">
        <f>SS_GetLatestDate(B102,献立表!D:G,献立表!A:A)</f>
        <v>no data</v>
      </c>
    </row>
    <row r="103" spans="1:6" hidden="1" x14ac:dyDescent="0.15">
      <c r="A103" t="s">
        <v>118</v>
      </c>
      <c r="B103" t="s">
        <v>132</v>
      </c>
      <c r="C103" s="4" t="s">
        <v>131</v>
      </c>
      <c r="E103" s="9" t="str">
        <f>SS_GetLatestDate(B103,献立表!D:G,献立表!A:A)</f>
        <v>no data</v>
      </c>
    </row>
    <row r="104" spans="1:6" hidden="1" x14ac:dyDescent="0.15">
      <c r="A104" t="s">
        <v>117</v>
      </c>
      <c r="B104" t="s">
        <v>249</v>
      </c>
      <c r="C104" s="4" t="s">
        <v>250</v>
      </c>
      <c r="E104" s="9" t="str">
        <f>SS_GetLatestDate(B104,献立表!D:G,献立表!A:A)</f>
        <v>no data</v>
      </c>
    </row>
    <row r="105" spans="1:6" hidden="1" x14ac:dyDescent="0.15">
      <c r="A105" t="s">
        <v>256</v>
      </c>
      <c r="B105" t="s">
        <v>255</v>
      </c>
      <c r="C105" s="4" t="s">
        <v>257</v>
      </c>
      <c r="E105" s="9" t="str">
        <f>SS_GetLatestDate(B105,献立表!D:G,献立表!A:A)</f>
        <v>no data</v>
      </c>
    </row>
    <row r="106" spans="1:6" hidden="1" x14ac:dyDescent="0.15">
      <c r="A106" t="s">
        <v>120</v>
      </c>
      <c r="B106" t="s">
        <v>121</v>
      </c>
      <c r="E106" s="9" t="str">
        <f>SS_GetLatestDate(B106,献立表!D:G,献立表!A:A)</f>
        <v>no data</v>
      </c>
    </row>
    <row r="107" spans="1:6" hidden="1" x14ac:dyDescent="0.15">
      <c r="A107" t="s">
        <v>264</v>
      </c>
      <c r="B107" t="s">
        <v>268</v>
      </c>
      <c r="C107" s="4" t="s">
        <v>331</v>
      </c>
      <c r="E107" s="9" t="str">
        <f>SS_GetLatestDate(B107,献立表!D:G,献立表!A:A)</f>
        <v>no data</v>
      </c>
      <c r="F107" t="s">
        <v>269</v>
      </c>
    </row>
    <row r="108" spans="1:6" hidden="1" x14ac:dyDescent="0.15">
      <c r="A108" t="s">
        <v>118</v>
      </c>
      <c r="B108" t="s">
        <v>174</v>
      </c>
      <c r="C108" s="4" t="s">
        <v>175</v>
      </c>
      <c r="E108" s="9" t="str">
        <f>SS_GetLatestDate(B108,献立表!D:G,献立表!A:A)</f>
        <v>no data</v>
      </c>
    </row>
    <row r="109" spans="1:6" hidden="1" x14ac:dyDescent="0.15">
      <c r="A109" t="s">
        <v>266</v>
      </c>
      <c r="B109" t="s">
        <v>267</v>
      </c>
      <c r="C109" t="s">
        <v>265</v>
      </c>
      <c r="E109" s="9" t="str">
        <f>SS_GetLatestDate(B109,献立表!D:G,献立表!A:A)</f>
        <v>no data</v>
      </c>
    </row>
    <row r="110" spans="1:6" hidden="1" x14ac:dyDescent="0.15">
      <c r="A110" t="s">
        <v>120</v>
      </c>
      <c r="B110" t="s">
        <v>206</v>
      </c>
      <c r="C110" s="4" t="s">
        <v>210</v>
      </c>
      <c r="E110" s="9" t="str">
        <f>SS_GetLatestDate(B110,献立表!D:G,献立表!A:A)</f>
        <v>no data</v>
      </c>
    </row>
    <row r="111" spans="1:6" hidden="1" x14ac:dyDescent="0.15">
      <c r="A111" t="s">
        <v>118</v>
      </c>
      <c r="B111" t="s">
        <v>282</v>
      </c>
      <c r="C111" s="4" t="s">
        <v>283</v>
      </c>
      <c r="E111" s="9" t="str">
        <f>SS_GetLatestDate(B111,献立表!D:G,献立表!A:A)</f>
        <v>no data</v>
      </c>
    </row>
    <row r="112" spans="1:6" hidden="1" x14ac:dyDescent="0.15">
      <c r="A112" t="s">
        <v>120</v>
      </c>
      <c r="B112" t="s">
        <v>219</v>
      </c>
      <c r="C112" s="4" t="s">
        <v>220</v>
      </c>
      <c r="E112" s="9" t="str">
        <f>SS_GetLatestDate(B112,献立表!D:G,献立表!A:A)</f>
        <v>no data</v>
      </c>
    </row>
    <row r="113" spans="1:5" hidden="1" x14ac:dyDescent="0.15">
      <c r="A113" t="s">
        <v>117</v>
      </c>
      <c r="B113" t="s">
        <v>122</v>
      </c>
      <c r="E113" s="9" t="str">
        <f>SS_GetLatestDate(B113,献立表!D:G,献立表!A:A)</f>
        <v>no data</v>
      </c>
    </row>
    <row r="114" spans="1:5" hidden="1" x14ac:dyDescent="0.15">
      <c r="A114" t="s">
        <v>118</v>
      </c>
      <c r="B114" t="s">
        <v>279</v>
      </c>
      <c r="C114" s="4" t="s">
        <v>276</v>
      </c>
      <c r="E114" s="9" t="str">
        <f>SS_GetLatestDate(B114,献立表!D:G,献立表!A:A)</f>
        <v>no data</v>
      </c>
    </row>
    <row r="115" spans="1:5" hidden="1" x14ac:dyDescent="0.15">
      <c r="A115" t="s">
        <v>118</v>
      </c>
      <c r="B115" t="s">
        <v>280</v>
      </c>
      <c r="C115" t="s">
        <v>281</v>
      </c>
      <c r="E115" s="9" t="str">
        <f>SS_GetLatestDate(B115,献立表!D:G,献立表!A:A)</f>
        <v>no data</v>
      </c>
    </row>
    <row r="116" spans="1:5" hidden="1" x14ac:dyDescent="0.15">
      <c r="A116" t="s">
        <v>117</v>
      </c>
      <c r="B116" t="s">
        <v>334</v>
      </c>
      <c r="C116" s="4" t="s">
        <v>246</v>
      </c>
      <c r="E116" s="9" t="str">
        <f>SS_GetLatestDate(B116,献立表!D:G,献立表!A:A)</f>
        <v>no data</v>
      </c>
    </row>
    <row r="117" spans="1:5" hidden="1" x14ac:dyDescent="0.15">
      <c r="A117" t="s">
        <v>118</v>
      </c>
      <c r="B117" t="s">
        <v>278</v>
      </c>
      <c r="C117" s="4" t="s">
        <v>277</v>
      </c>
      <c r="E117" s="9" t="str">
        <f>SS_GetLatestDate(B117,献立表!D:G,献立表!A:A)</f>
        <v>no data</v>
      </c>
    </row>
    <row r="118" spans="1:5" hidden="1" x14ac:dyDescent="0.15">
      <c r="A118" t="s">
        <v>118</v>
      </c>
      <c r="B118" t="s">
        <v>339</v>
      </c>
      <c r="E118" s="9">
        <f>SS_GetLatestDate(B118,献立表!D:G,献立表!A:A)</f>
        <v>44118</v>
      </c>
    </row>
    <row r="119" spans="1:5" x14ac:dyDescent="0.15">
      <c r="A119" t="s">
        <v>118</v>
      </c>
      <c r="B119" t="s">
        <v>338</v>
      </c>
      <c r="C119" s="4" t="s">
        <v>364</v>
      </c>
      <c r="E119" s="9">
        <f>SS_GetLatestDate(B119,献立表!D:G,献立表!A:A)</f>
        <v>44117</v>
      </c>
    </row>
    <row r="120" spans="1:5" hidden="1" x14ac:dyDescent="0.15">
      <c r="A120" t="s">
        <v>117</v>
      </c>
      <c r="B120" t="s">
        <v>344</v>
      </c>
      <c r="C120" t="s">
        <v>345</v>
      </c>
      <c r="E120" s="9">
        <f>SS_GetLatestDate(B120,献立表!D:G,献立表!A:A)</f>
        <v>44118</v>
      </c>
    </row>
    <row r="121" spans="1:5" hidden="1" x14ac:dyDescent="0.15">
      <c r="A121" t="s">
        <v>352</v>
      </c>
      <c r="B121" t="s">
        <v>351</v>
      </c>
      <c r="C121" t="s">
        <v>353</v>
      </c>
      <c r="E121" s="9">
        <f>SS_GetLatestDate(B121,献立表!D:G,献立表!A:A)</f>
        <v>44134</v>
      </c>
    </row>
    <row r="122" spans="1:5" hidden="1" x14ac:dyDescent="0.15">
      <c r="A122" t="s">
        <v>118</v>
      </c>
      <c r="B122" t="s">
        <v>360</v>
      </c>
      <c r="C122" s="4" t="s">
        <v>361</v>
      </c>
    </row>
    <row r="123" spans="1:5" hidden="1" x14ac:dyDescent="0.15">
      <c r="A123" t="s">
        <v>117</v>
      </c>
      <c r="B123" t="s">
        <v>362</v>
      </c>
      <c r="C123" s="4" t="s">
        <v>363</v>
      </c>
      <c r="E123" s="9" t="str">
        <f>SS_GetLatestDate(B123,献立表!D:G,献立表!A:A)</f>
        <v>no data</v>
      </c>
    </row>
  </sheetData>
  <autoFilter ref="A1:F123">
    <filterColumn colId="1">
      <filters>
        <filter val="かぼちゃの鶏ひき肉煮"/>
        <filter val="鶏つくね団子"/>
        <filter val="鶏むねうま塩チキン"/>
        <filter val="鶏むねケチャップ炒め"/>
        <filter val="鶏むね肉サッパリ煮"/>
        <filter val="鶏むね梅チーズハム"/>
        <filter val="鶏むね味噌マヨ焼き"/>
        <filter val="鶏モモチャーシュー"/>
        <filter val="鶏モモマスタード焼き"/>
        <filter val="鶏モモマヨポン酢"/>
      </filters>
    </filterColumn>
    <sortState ref="A3:F112">
      <sortCondition ref="E1:E121"/>
    </sortState>
  </autoFilter>
  <phoneticPr fontId="1"/>
  <conditionalFormatting sqref="B5">
    <cfRule type="expression" dxfId="1" priority="4">
      <formula>AND(OR($B5="土",$B5="日"),$C5="")</formula>
    </cfRule>
  </conditionalFormatting>
  <conditionalFormatting sqref="B6">
    <cfRule type="expression" dxfId="0" priority="21">
      <formula>AND(OR(#REF!="土",#REF!="日"),$B6="")</formula>
    </cfRule>
  </conditionalFormatting>
  <hyperlinks>
    <hyperlink ref="C62" r:id="rId1"/>
    <hyperlink ref="C96" r:id="rId2"/>
    <hyperlink ref="C95" r:id="rId3"/>
    <hyperlink ref="C5" r:id="rId4"/>
    <hyperlink ref="C13" r:id="rId5"/>
    <hyperlink ref="C60" r:id="rId6"/>
    <hyperlink ref="C79" r:id="rId7"/>
    <hyperlink ref="C65" r:id="rId8"/>
    <hyperlink ref="C7" r:id="rId9"/>
    <hyperlink ref="C84" r:id="rId10"/>
    <hyperlink ref="C90" r:id="rId11"/>
    <hyperlink ref="C70" r:id="rId12"/>
    <hyperlink ref="C9" r:id="rId13"/>
    <hyperlink ref="C81" r:id="rId14"/>
    <hyperlink ref="C100" r:id="rId15"/>
    <hyperlink ref="C15" r:id="rId16"/>
    <hyperlink ref="C54" r:id="rId17"/>
    <hyperlink ref="C80" r:id="rId18"/>
    <hyperlink ref="C2" r:id="rId19"/>
    <hyperlink ref="C4" r:id="rId20"/>
    <hyperlink ref="C76" r:id="rId21"/>
    <hyperlink ref="C78" r:id="rId22"/>
    <hyperlink ref="C12" r:id="rId23"/>
    <hyperlink ref="C14" r:id="rId24"/>
    <hyperlink ref="C46" r:id="rId25"/>
    <hyperlink ref="C16" r:id="rId26"/>
    <hyperlink ref="C74" r:id="rId27"/>
    <hyperlink ref="C75" r:id="rId28"/>
    <hyperlink ref="C45" r:id="rId29"/>
    <hyperlink ref="C103" r:id="rId30"/>
    <hyperlink ref="C17" r:id="rId31"/>
    <hyperlink ref="C19" r:id="rId32"/>
    <hyperlink ref="C27" r:id="rId33"/>
    <hyperlink ref="C31" r:id="rId34"/>
    <hyperlink ref="C36" r:id="rId35" display="https://recipe.rakuten.co.jp/recipe/1070031681/"/>
    <hyperlink ref="D36" r:id="rId36"/>
    <hyperlink ref="C20" r:id="rId37"/>
    <hyperlink ref="C88" r:id="rId38"/>
    <hyperlink ref="C22" r:id="rId39"/>
    <hyperlink ref="C87" r:id="rId40"/>
    <hyperlink ref="C33" r:id="rId41"/>
    <hyperlink ref="C23" r:id="rId42"/>
    <hyperlink ref="C97" r:id="rId43"/>
    <hyperlink ref="C98" r:id="rId44"/>
    <hyperlink ref="C24" r:id="rId45"/>
    <hyperlink ref="C108" r:id="rId46"/>
    <hyperlink ref="C25" r:id="rId47"/>
    <hyperlink ref="C93" r:id="rId48"/>
    <hyperlink ref="C99" r:id="rId49"/>
    <hyperlink ref="D99" r:id="rId50"/>
    <hyperlink ref="C38" r:id="rId51"/>
    <hyperlink ref="C94" r:id="rId52"/>
    <hyperlink ref="C30" r:id="rId53"/>
    <hyperlink ref="C29" r:id="rId54"/>
    <hyperlink ref="C110" r:id="rId55"/>
    <hyperlink ref="C34" r:id="rId56"/>
    <hyperlink ref="C89" r:id="rId57"/>
    <hyperlink ref="C112" r:id="rId58"/>
    <hyperlink ref="C92" r:id="rId59"/>
    <hyperlink ref="C39" r:id="rId60"/>
    <hyperlink ref="C42" r:id="rId61"/>
    <hyperlink ref="C37" r:id="rId62"/>
    <hyperlink ref="C40" r:id="rId63"/>
    <hyperlink ref="C116" r:id="rId64"/>
    <hyperlink ref="C101" r:id="rId65"/>
    <hyperlink ref="C104" r:id="rId66"/>
    <hyperlink ref="C51" r:id="rId67"/>
    <hyperlink ref="C56" r:id="rId68"/>
    <hyperlink ref="C105" r:id="rId69"/>
    <hyperlink ref="C44" r:id="rId70"/>
    <hyperlink ref="C114" r:id="rId71"/>
    <hyperlink ref="C117" r:id="rId72"/>
    <hyperlink ref="C111" r:id="rId73"/>
    <hyperlink ref="C49" r:id="rId74"/>
    <hyperlink ref="C55" r:id="rId75"/>
    <hyperlink ref="C59" r:id="rId76"/>
    <hyperlink ref="C61" r:id="rId77"/>
    <hyperlink ref="C71" r:id="rId78"/>
    <hyperlink ref="C68" r:id="rId79"/>
    <hyperlink ref="C107" r:id="rId80"/>
    <hyperlink ref="C66" r:id="rId81"/>
    <hyperlink ref="C122" r:id="rId82"/>
    <hyperlink ref="C123" r:id="rId83"/>
    <hyperlink ref="C119" r:id="rId84"/>
  </hyperlinks>
  <pageMargins left="0.7" right="0.7" top="0.75" bottom="0.75" header="0.3" footer="0.3"/>
  <pageSetup paperSize="9" orientation="portrait" r:id="rId8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B4" sqref="B4"/>
    </sheetView>
  </sheetViews>
  <sheetFormatPr defaultRowHeight="13.5" x14ac:dyDescent="0.15"/>
  <cols>
    <col min="1" max="1" width="16.125" bestFit="1" customWidth="1"/>
  </cols>
  <sheetData>
    <row r="1" spans="1:2" x14ac:dyDescent="0.15">
      <c r="A1" t="s">
        <v>233</v>
      </c>
      <c r="B1" s="4" t="s">
        <v>234</v>
      </c>
    </row>
  </sheetData>
  <phoneticPr fontId="1"/>
  <hyperlinks>
    <hyperlink ref="B1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C44" sqref="C44"/>
    </sheetView>
  </sheetViews>
  <sheetFormatPr defaultRowHeight="13.5" x14ac:dyDescent="0.15"/>
  <sheetData>
    <row r="1" spans="1:1" x14ac:dyDescent="0.15">
      <c r="A1" t="s">
        <v>197</v>
      </c>
    </row>
    <row r="2" spans="1:1" x14ac:dyDescent="0.15">
      <c r="A2" t="s">
        <v>198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献立表</vt:lpstr>
      <vt:lpstr>データ</vt:lpstr>
      <vt:lpstr>Sheet1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寿陸</dc:creator>
  <cp:lastModifiedBy>寿陸</cp:lastModifiedBy>
  <dcterms:created xsi:type="dcterms:W3CDTF">2020-07-06T10:23:51Z</dcterms:created>
  <dcterms:modified xsi:type="dcterms:W3CDTF">2021-01-11T12:39:30Z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a1de0177-0437-4731-8815-38f197e8e7f7</vt:lpwstr>
  </property>
</Properties>
</file>